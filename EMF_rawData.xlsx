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acuencacambronero/Dropbox/PONDERFUL/Database/data/Ecosystem functions/Analisis/All/SEM/Article/Documents to submit/Database_Script/DB_Script/"/>
    </mc:Choice>
  </mc:AlternateContent>
  <xr:revisionPtr revIDLastSave="0" documentId="13_ncr:1_{7179DC63-B9C2-B642-B05F-37B3D6F3949A}" xr6:coauthVersionLast="47" xr6:coauthVersionMax="47" xr10:uidLastSave="{00000000-0000-0000-0000-000000000000}"/>
  <bookViews>
    <workbookView xWindow="1000" yWindow="600" windowWidth="24440" windowHeight="17500" xr2:uid="{7E757154-4998-6D47-B56B-D9FD650DC229}"/>
  </bookViews>
  <sheets>
    <sheet name="FullDB" sheetId="1" r:id="rId1"/>
    <sheet name="FullDB_AllF" sheetId="4" r:id="rId2"/>
  </sheets>
  <definedNames>
    <definedName name="_xlnm._FilterDatabase" localSheetId="0" hidden="1">FullDB!$A$1:$V$207</definedName>
    <definedName name="_xlnm._FilterDatabase" localSheetId="1" hidden="1">FullDB_AllF!$A$1:$Z$207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1" l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Z3" i="4"/>
  <c r="Z4" i="4"/>
  <c r="Z5" i="4"/>
  <c r="Z6" i="4"/>
  <c r="Z7" i="4"/>
  <c r="Z8" i="4"/>
  <c r="Z9" i="4"/>
  <c r="Z10" i="4"/>
  <c r="Z11" i="4"/>
  <c r="Z12" i="4"/>
  <c r="Z13" i="4"/>
  <c r="Z14" i="4"/>
  <c r="Z15" i="4"/>
  <c r="Z16" i="4"/>
  <c r="Z17" i="4"/>
  <c r="Z18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3" i="4"/>
  <c r="Z34" i="4"/>
  <c r="Z35" i="4"/>
  <c r="Z36" i="4"/>
  <c r="Z37" i="4"/>
  <c r="Z38" i="4"/>
  <c r="Z39" i="4"/>
  <c r="Z40" i="4"/>
  <c r="Z41" i="4"/>
  <c r="Z42" i="4"/>
  <c r="Z43" i="4"/>
  <c r="Z44" i="4"/>
  <c r="Z45" i="4"/>
  <c r="Z46" i="4"/>
  <c r="Z47" i="4"/>
  <c r="Z48" i="4"/>
  <c r="Z49" i="4"/>
  <c r="Z50" i="4"/>
  <c r="Z51" i="4"/>
  <c r="Z52" i="4"/>
  <c r="Z53" i="4"/>
  <c r="Z54" i="4"/>
  <c r="Z55" i="4"/>
  <c r="Z56" i="4"/>
  <c r="Z57" i="4"/>
  <c r="Z58" i="4"/>
  <c r="Z59" i="4"/>
  <c r="Z60" i="4"/>
  <c r="Z61" i="4"/>
  <c r="Z62" i="4"/>
  <c r="Z63" i="4"/>
  <c r="Z64" i="4"/>
  <c r="Z65" i="4"/>
  <c r="Z66" i="4"/>
  <c r="Z67" i="4"/>
  <c r="Z68" i="4"/>
  <c r="Z69" i="4"/>
  <c r="Z70" i="4"/>
  <c r="Z71" i="4"/>
  <c r="Z72" i="4"/>
  <c r="Z73" i="4"/>
  <c r="Z74" i="4"/>
  <c r="Z75" i="4"/>
  <c r="Z76" i="4"/>
  <c r="Z77" i="4"/>
  <c r="Z78" i="4"/>
  <c r="Z79" i="4"/>
  <c r="Z80" i="4"/>
  <c r="Z81" i="4"/>
  <c r="Z82" i="4"/>
  <c r="Z83" i="4"/>
  <c r="Z84" i="4"/>
  <c r="Z85" i="4"/>
  <c r="Z86" i="4"/>
  <c r="Z87" i="4"/>
  <c r="Z88" i="4"/>
  <c r="Z89" i="4"/>
  <c r="Z90" i="4"/>
  <c r="Z91" i="4"/>
  <c r="Z92" i="4"/>
  <c r="Z93" i="4"/>
  <c r="Z94" i="4"/>
  <c r="Z95" i="4"/>
  <c r="Z96" i="4"/>
  <c r="Z97" i="4"/>
  <c r="Z98" i="4"/>
  <c r="Z99" i="4"/>
  <c r="Z100" i="4"/>
  <c r="Z101" i="4"/>
  <c r="Z102" i="4"/>
  <c r="Z103" i="4"/>
  <c r="Z104" i="4"/>
  <c r="Z105" i="4"/>
  <c r="Z106" i="4"/>
  <c r="Z107" i="4"/>
  <c r="Z108" i="4"/>
  <c r="Z109" i="4"/>
  <c r="Z110" i="4"/>
  <c r="Z111" i="4"/>
  <c r="Z112" i="4"/>
  <c r="Z113" i="4"/>
  <c r="Z114" i="4"/>
  <c r="Z115" i="4"/>
  <c r="Z116" i="4"/>
  <c r="Z117" i="4"/>
  <c r="Z118" i="4"/>
  <c r="Z119" i="4"/>
  <c r="Z120" i="4"/>
  <c r="Z121" i="4"/>
  <c r="Z122" i="4"/>
  <c r="Z123" i="4"/>
  <c r="Z124" i="4"/>
  <c r="Z125" i="4"/>
  <c r="Z126" i="4"/>
  <c r="Z127" i="4"/>
  <c r="Z128" i="4"/>
  <c r="Z129" i="4"/>
  <c r="Z130" i="4"/>
  <c r="Z131" i="4"/>
  <c r="Z132" i="4"/>
  <c r="Z133" i="4"/>
  <c r="Z134" i="4"/>
  <c r="Z135" i="4"/>
  <c r="Z136" i="4"/>
  <c r="Z137" i="4"/>
  <c r="Z138" i="4"/>
  <c r="Z139" i="4"/>
  <c r="Z140" i="4"/>
  <c r="Z141" i="4"/>
  <c r="Z142" i="4"/>
  <c r="Z143" i="4"/>
  <c r="Z144" i="4"/>
  <c r="Z145" i="4"/>
  <c r="Z146" i="4"/>
  <c r="Z147" i="4"/>
  <c r="Z148" i="4"/>
  <c r="Z149" i="4"/>
  <c r="Z150" i="4"/>
  <c r="Z151" i="4"/>
  <c r="Z152" i="4"/>
  <c r="Z153" i="4"/>
  <c r="Z154" i="4"/>
  <c r="Z155" i="4"/>
  <c r="Z156" i="4"/>
  <c r="Z157" i="4"/>
  <c r="Z158" i="4"/>
  <c r="Z159" i="4"/>
  <c r="Z160" i="4"/>
  <c r="Z161" i="4"/>
  <c r="Z162" i="4"/>
  <c r="Z163" i="4"/>
  <c r="Z164" i="4"/>
  <c r="Z165" i="4"/>
  <c r="Z166" i="4"/>
  <c r="Z167" i="4"/>
  <c r="Z168" i="4"/>
  <c r="Z169" i="4"/>
  <c r="Z170" i="4"/>
  <c r="Z171" i="4"/>
  <c r="Z172" i="4"/>
  <c r="Z173" i="4"/>
  <c r="Z174" i="4"/>
  <c r="Z175" i="4"/>
  <c r="Z176" i="4"/>
  <c r="Z177" i="4"/>
  <c r="Z178" i="4"/>
  <c r="Z179" i="4"/>
  <c r="Z180" i="4"/>
  <c r="Z181" i="4"/>
  <c r="Z182" i="4"/>
  <c r="Z183" i="4"/>
  <c r="Z184" i="4"/>
  <c r="Z185" i="4"/>
  <c r="Z186" i="4"/>
  <c r="Z187" i="4"/>
  <c r="Z188" i="4"/>
  <c r="Z189" i="4"/>
  <c r="Z190" i="4"/>
  <c r="Z191" i="4"/>
  <c r="Z192" i="4"/>
  <c r="Z193" i="4"/>
  <c r="Z194" i="4"/>
  <c r="Z195" i="4"/>
  <c r="Z196" i="4"/>
  <c r="Z197" i="4"/>
  <c r="Z198" i="4"/>
  <c r="Z199" i="4"/>
  <c r="Z200" i="4"/>
  <c r="Z201" i="4"/>
  <c r="Z202" i="4"/>
  <c r="Z203" i="4"/>
  <c r="Z204" i="4"/>
  <c r="Z205" i="4"/>
  <c r="Z206" i="4"/>
  <c r="Z207" i="4"/>
  <c r="Z2" i="4"/>
</calcChain>
</file>

<file path=xl/sharedStrings.xml><?xml version="1.0" encoding="utf-8"?>
<sst xmlns="http://schemas.openxmlformats.org/spreadsheetml/2006/main" count="873" uniqueCount="239">
  <si>
    <t>Pond_ID</t>
  </si>
  <si>
    <t>Country</t>
  </si>
  <si>
    <t>S</t>
  </si>
  <si>
    <t>k</t>
  </si>
  <si>
    <t>SedTraps</t>
  </si>
  <si>
    <t>BMzp</t>
  </si>
  <si>
    <t>BMmi</t>
  </si>
  <si>
    <t>BioMP</t>
  </si>
  <si>
    <t>BioZP</t>
  </si>
  <si>
    <t>BioMI</t>
  </si>
  <si>
    <t>BioAmph</t>
  </si>
  <si>
    <t>FishPA</t>
  </si>
  <si>
    <t>Hydrop</t>
  </si>
  <si>
    <t>Area</t>
  </si>
  <si>
    <t>Depth</t>
  </si>
  <si>
    <t>Latitude</t>
  </si>
  <si>
    <t>Longitude</t>
  </si>
  <si>
    <t>BE048</t>
  </si>
  <si>
    <t>Belgium</t>
  </si>
  <si>
    <t>BE049</t>
  </si>
  <si>
    <t>BE050</t>
  </si>
  <si>
    <t>BE051</t>
  </si>
  <si>
    <t>BE052</t>
  </si>
  <si>
    <t>BE053</t>
  </si>
  <si>
    <t>BE054</t>
  </si>
  <si>
    <t>BE055</t>
  </si>
  <si>
    <t>BE056</t>
  </si>
  <si>
    <t>BE057</t>
  </si>
  <si>
    <t>BE058</t>
  </si>
  <si>
    <t>BE059</t>
  </si>
  <si>
    <t>BE060</t>
  </si>
  <si>
    <t>BE061</t>
  </si>
  <si>
    <t>BE062</t>
  </si>
  <si>
    <t>BE063</t>
  </si>
  <si>
    <t>BE064</t>
  </si>
  <si>
    <t>BE065</t>
  </si>
  <si>
    <t>BE066</t>
  </si>
  <si>
    <t>BE067</t>
  </si>
  <si>
    <t>BE068</t>
  </si>
  <si>
    <t>BE069</t>
  </si>
  <si>
    <t>BE070</t>
  </si>
  <si>
    <t>BE071</t>
  </si>
  <si>
    <t>BE072</t>
  </si>
  <si>
    <t>BE073</t>
  </si>
  <si>
    <t>BE074</t>
  </si>
  <si>
    <t>BE075</t>
  </si>
  <si>
    <t>BE076</t>
  </si>
  <si>
    <t>BE077</t>
  </si>
  <si>
    <t>CH009</t>
  </si>
  <si>
    <t>Switzerland</t>
  </si>
  <si>
    <t>CH011</t>
  </si>
  <si>
    <t>CH018</t>
  </si>
  <si>
    <t>CH033</t>
  </si>
  <si>
    <t>CH034</t>
  </si>
  <si>
    <t>CH036</t>
  </si>
  <si>
    <t>CH037</t>
  </si>
  <si>
    <t>CH047</t>
  </si>
  <si>
    <t>CH048</t>
  </si>
  <si>
    <t>CH053</t>
  </si>
  <si>
    <t>CH179</t>
  </si>
  <si>
    <t>CH183</t>
  </si>
  <si>
    <t>CH184</t>
  </si>
  <si>
    <t>CH188</t>
  </si>
  <si>
    <t>CH191</t>
  </si>
  <si>
    <t>CH192</t>
  </si>
  <si>
    <t>CH193</t>
  </si>
  <si>
    <t>CH194</t>
  </si>
  <si>
    <t>CH202</t>
  </si>
  <si>
    <t>CH204</t>
  </si>
  <si>
    <t>CH211</t>
  </si>
  <si>
    <t>CH212</t>
  </si>
  <si>
    <t>CH213</t>
  </si>
  <si>
    <t>CH214</t>
  </si>
  <si>
    <t>CH215</t>
  </si>
  <si>
    <t>CH217</t>
  </si>
  <si>
    <t>CH251</t>
  </si>
  <si>
    <t>CH253</t>
  </si>
  <si>
    <t>CH254</t>
  </si>
  <si>
    <t>CH262</t>
  </si>
  <si>
    <t>DE001</t>
  </si>
  <si>
    <t>Germany</t>
  </si>
  <si>
    <t>DE002</t>
  </si>
  <si>
    <t>DE003</t>
  </si>
  <si>
    <t>DE004</t>
  </si>
  <si>
    <t>DE005</t>
  </si>
  <si>
    <t>DE007</t>
  </si>
  <si>
    <t>DE008</t>
  </si>
  <si>
    <t>DE010</t>
  </si>
  <si>
    <t>DE011</t>
  </si>
  <si>
    <t>DE012</t>
  </si>
  <si>
    <t>DE013</t>
  </si>
  <si>
    <t>DE014</t>
  </si>
  <si>
    <t>DE015</t>
  </si>
  <si>
    <t>DE016</t>
  </si>
  <si>
    <t>DE017</t>
  </si>
  <si>
    <t>DE019</t>
  </si>
  <si>
    <t>DE020</t>
  </si>
  <si>
    <t>DE021</t>
  </si>
  <si>
    <t>DE022</t>
  </si>
  <si>
    <t>DE023</t>
  </si>
  <si>
    <t>DE024</t>
  </si>
  <si>
    <t>DE025</t>
  </si>
  <si>
    <t>DE026</t>
  </si>
  <si>
    <t>DE027</t>
  </si>
  <si>
    <t>DE028</t>
  </si>
  <si>
    <t>DE029</t>
  </si>
  <si>
    <t>DE030</t>
  </si>
  <si>
    <t>DE031</t>
  </si>
  <si>
    <t>DE032</t>
  </si>
  <si>
    <t>Denmark</t>
  </si>
  <si>
    <t>DK006</t>
  </si>
  <si>
    <t>DK008</t>
  </si>
  <si>
    <t>DK010</t>
  </si>
  <si>
    <t>DK011</t>
  </si>
  <si>
    <t>DK016</t>
  </si>
  <si>
    <t>DK017</t>
  </si>
  <si>
    <t>DK018</t>
  </si>
  <si>
    <t>DK019</t>
  </si>
  <si>
    <t>DK020</t>
  </si>
  <si>
    <t>DK021</t>
  </si>
  <si>
    <t>DK022</t>
  </si>
  <si>
    <t>DK023</t>
  </si>
  <si>
    <t>DK024</t>
  </si>
  <si>
    <t>DK025</t>
  </si>
  <si>
    <t>DK026</t>
  </si>
  <si>
    <t>DK027</t>
  </si>
  <si>
    <t>DK028</t>
  </si>
  <si>
    <t>DK029</t>
  </si>
  <si>
    <t>DK030</t>
  </si>
  <si>
    <t>DK031</t>
  </si>
  <si>
    <t>DK032</t>
  </si>
  <si>
    <t>DK033</t>
  </si>
  <si>
    <t>DK034</t>
  </si>
  <si>
    <t>DK035</t>
  </si>
  <si>
    <t>DK036</t>
  </si>
  <si>
    <t>DK037</t>
  </si>
  <si>
    <t>DK038</t>
  </si>
  <si>
    <t>DK039</t>
  </si>
  <si>
    <t>DK041</t>
  </si>
  <si>
    <t>DK042</t>
  </si>
  <si>
    <t>SP006</t>
  </si>
  <si>
    <t>Spain</t>
  </si>
  <si>
    <t>SP008</t>
  </si>
  <si>
    <t>SP010</t>
  </si>
  <si>
    <t>SP014</t>
  </si>
  <si>
    <t>SP019</t>
  </si>
  <si>
    <t>SP020</t>
  </si>
  <si>
    <t>SP026</t>
  </si>
  <si>
    <t>SP027</t>
  </si>
  <si>
    <t>SP028</t>
  </si>
  <si>
    <t>SP029</t>
  </si>
  <si>
    <t>SP030</t>
  </si>
  <si>
    <t>SP031</t>
  </si>
  <si>
    <t>SP032</t>
  </si>
  <si>
    <t>SP033</t>
  </si>
  <si>
    <t>SP034</t>
  </si>
  <si>
    <t>SP035</t>
  </si>
  <si>
    <t>SP036</t>
  </si>
  <si>
    <t>SP037</t>
  </si>
  <si>
    <t>SP038</t>
  </si>
  <si>
    <t>SP039</t>
  </si>
  <si>
    <t>SP040</t>
  </si>
  <si>
    <t>SP041</t>
  </si>
  <si>
    <t>SP042</t>
  </si>
  <si>
    <t>SP043</t>
  </si>
  <si>
    <t>SP044</t>
  </si>
  <si>
    <t>SP045</t>
  </si>
  <si>
    <t>SP046</t>
  </si>
  <si>
    <t>SP047</t>
  </si>
  <si>
    <t>SP048</t>
  </si>
  <si>
    <t>SP049</t>
  </si>
  <si>
    <t>TR1</t>
  </si>
  <si>
    <t>Turkey</t>
  </si>
  <si>
    <t>TR10</t>
  </si>
  <si>
    <t>TR11</t>
  </si>
  <si>
    <t>TR12</t>
  </si>
  <si>
    <t>TR13</t>
  </si>
  <si>
    <t>TR14</t>
  </si>
  <si>
    <t>TR15</t>
  </si>
  <si>
    <t>TR16</t>
  </si>
  <si>
    <t>TR17</t>
  </si>
  <si>
    <t>TR18</t>
  </si>
  <si>
    <t>TR19</t>
  </si>
  <si>
    <t>TR2</t>
  </si>
  <si>
    <t>TR20</t>
  </si>
  <si>
    <t>TR21</t>
  </si>
  <si>
    <t>TR22</t>
  </si>
  <si>
    <t>TR23</t>
  </si>
  <si>
    <t>TR24</t>
  </si>
  <si>
    <t>TR25</t>
  </si>
  <si>
    <t>TR26</t>
  </si>
  <si>
    <t>TR27</t>
  </si>
  <si>
    <t>TR29</t>
  </si>
  <si>
    <t>TR3</t>
  </si>
  <si>
    <t>TR30</t>
  </si>
  <si>
    <t>TR4</t>
  </si>
  <si>
    <t>TR5</t>
  </si>
  <si>
    <t>TR6</t>
  </si>
  <si>
    <t>TR7</t>
  </si>
  <si>
    <t>TR8</t>
  </si>
  <si>
    <t>TR9</t>
  </si>
  <si>
    <t>UK001</t>
  </si>
  <si>
    <t>UK</t>
  </si>
  <si>
    <t>UK002</t>
  </si>
  <si>
    <t>UK003</t>
  </si>
  <si>
    <t>UK004</t>
  </si>
  <si>
    <t>UK005</t>
  </si>
  <si>
    <t>UK006</t>
  </si>
  <si>
    <t>UK007</t>
  </si>
  <si>
    <t>UK008</t>
  </si>
  <si>
    <t>UK009</t>
  </si>
  <si>
    <t>UK010</t>
  </si>
  <si>
    <t>UK011</t>
  </si>
  <si>
    <t>UK012</t>
  </si>
  <si>
    <t>UK013</t>
  </si>
  <si>
    <t>UK014</t>
  </si>
  <si>
    <t>UK015</t>
  </si>
  <si>
    <t>UK016</t>
  </si>
  <si>
    <t>UK017</t>
  </si>
  <si>
    <t>UK018</t>
  </si>
  <si>
    <t>UK021</t>
  </si>
  <si>
    <t>UK022</t>
  </si>
  <si>
    <t>UK023</t>
  </si>
  <si>
    <t>UK024</t>
  </si>
  <si>
    <t>UK025</t>
  </si>
  <si>
    <t>UK026</t>
  </si>
  <si>
    <t>UK027</t>
  </si>
  <si>
    <t>UK028</t>
  </si>
  <si>
    <t>UK029</t>
  </si>
  <si>
    <t>UK030</t>
  </si>
  <si>
    <t>CH4</t>
  </si>
  <si>
    <t>CHLa</t>
  </si>
  <si>
    <t>TN</t>
  </si>
  <si>
    <t>TP</t>
  </si>
  <si>
    <t>Plants</t>
  </si>
  <si>
    <t>Aridity</t>
  </si>
  <si>
    <t>Cropland</t>
  </si>
  <si>
    <t>MAT</t>
  </si>
  <si>
    <t>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</si>
</sst>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2"/>
      <color theme="1"/>
      <name val="Aptos Narrow"/>
      <family val="2"/>
      <scheme val="minor"/>
    </font>
    <font>
      <sz val="11"/>
      <name val="Calibri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0" applyFont="1"/>
    <xf numFmtId="0" fontId="3" fillId="0" borderId="0" xfId="0" applyFont="1" applyAlignment="1">
      <alignment wrapText="1"/>
    </xf>
    <xf numFmtId="0" fontId="3" fillId="0" borderId="0" xfId="0" applyFont="1"/>
    <xf numFmtId="164" fontId="2" fillId="0" borderId="0" xfId="0" applyNumberFormat="1" applyFont="1"/>
    <xf numFmtId="2" fontId="2" fillId="0" borderId="0" xfId="0" applyNumberFormat="1" applyFont="1"/>
    <xf numFmtId="164" fontId="4" fillId="0" borderId="0" xfId="0" applyNumberFormat="1" applyFont="1"/>
    <xf numFmtId="0" fontId="5" fillId="0" borderId="0" xfId="0" applyFont="1"/>
    <xf numFmtId="1" fontId="2" fillId="0" borderId="0" xfId="0" applyNumberFormat="1" applyFont="1"/>
  </cellXfs>
  <cellStyles count="2">
    <cellStyle name="Normal" xfId="0" builtinId="0"/>
    <cellStyle name="Normal 2" xfId="1" xr:uid="{D791CBF5-C374-B94A-8305-E1253B5767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5DA30-2FDB-7A4D-B3BF-2844CF413D35}">
  <dimension ref="A1:Y207"/>
  <sheetViews>
    <sheetView tabSelected="1" workbookViewId="0">
      <pane xSplit="1" ySplit="1" topLeftCell="F91" activePane="bottomRight" state="frozen"/>
      <selection pane="topRight" activeCell="B1" sqref="B1"/>
      <selection pane="bottomLeft" activeCell="A2" sqref="A2"/>
      <selection pane="bottomRight" activeCell="M102" sqref="M102"/>
    </sheetView>
  </sheetViews>
  <sheetFormatPr baseColWidth="10" defaultRowHeight="16" x14ac:dyDescent="0.2"/>
  <cols>
    <col min="1" max="23" width="10.83203125" style="1"/>
    <col min="26" max="16384" width="10.83203125" style="1"/>
  </cols>
  <sheetData>
    <row r="1" spans="1:23" x14ac:dyDescent="0.2">
      <c r="A1" s="1" t="s">
        <v>0</v>
      </c>
      <c r="B1" s="1" t="s">
        <v>1</v>
      </c>
      <c r="C1" s="2" t="s">
        <v>230</v>
      </c>
      <c r="D1" s="3" t="s">
        <v>231</v>
      </c>
      <c r="E1" s="3" t="s">
        <v>5</v>
      </c>
      <c r="F1" s="3" t="s">
        <v>6</v>
      </c>
      <c r="G1" s="3" t="s">
        <v>234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237</v>
      </c>
      <c r="M1" s="1" t="s">
        <v>238</v>
      </c>
      <c r="N1" s="1" t="s">
        <v>13</v>
      </c>
      <c r="O1" s="1" t="s">
        <v>14</v>
      </c>
      <c r="P1" s="1" t="s">
        <v>232</v>
      </c>
      <c r="Q1" s="1" t="s">
        <v>233</v>
      </c>
      <c r="R1" s="1" t="s">
        <v>236</v>
      </c>
      <c r="S1" s="1" t="s">
        <v>15</v>
      </c>
      <c r="T1" s="1" t="s">
        <v>16</v>
      </c>
      <c r="U1" s="1" t="s">
        <v>11</v>
      </c>
      <c r="V1" s="1" t="s">
        <v>12</v>
      </c>
      <c r="W1" s="1" t="s">
        <v>235</v>
      </c>
    </row>
    <row r="2" spans="1:23" x14ac:dyDescent="0.2">
      <c r="A2" s="1" t="s">
        <v>17</v>
      </c>
      <c r="B2" s="1" t="s">
        <v>18</v>
      </c>
      <c r="C2" s="1">
        <v>67.771079457519093</v>
      </c>
      <c r="D2" s="4"/>
      <c r="E2" s="4">
        <v>137.29117748165501</v>
      </c>
      <c r="F2" s="4">
        <v>679.098707407544</v>
      </c>
      <c r="G2" s="1">
        <v>25</v>
      </c>
      <c r="H2" s="1">
        <v>13</v>
      </c>
      <c r="I2" s="7">
        <v>4</v>
      </c>
      <c r="J2" s="1">
        <v>7</v>
      </c>
      <c r="K2" s="1">
        <v>6</v>
      </c>
      <c r="L2" s="4">
        <v>11.381136986301399</v>
      </c>
      <c r="M2" s="4">
        <v>0.9464285714285714</v>
      </c>
      <c r="N2" s="8">
        <v>702</v>
      </c>
      <c r="O2" s="8">
        <v>50</v>
      </c>
      <c r="P2" s="5">
        <v>1.8</v>
      </c>
      <c r="Q2" s="5">
        <v>3.7999999999999999E-2</v>
      </c>
      <c r="R2" s="1">
        <v>80</v>
      </c>
      <c r="S2" s="1">
        <v>51.327590000000001</v>
      </c>
      <c r="T2" s="1">
        <v>5.0323700000000002</v>
      </c>
      <c r="U2" s="1">
        <v>1</v>
      </c>
      <c r="V2" s="1">
        <v>1</v>
      </c>
      <c r="W2" s="4">
        <f t="shared" ref="W2:W65" si="0">1-M2</f>
        <v>5.3571428571428603E-2</v>
      </c>
    </row>
    <row r="3" spans="1:23" x14ac:dyDescent="0.2">
      <c r="A3" s="1" t="s">
        <v>19</v>
      </c>
      <c r="B3" s="1" t="s">
        <v>18</v>
      </c>
      <c r="C3" s="1">
        <v>424.76299792974999</v>
      </c>
      <c r="D3" s="5">
        <v>75.898589490000006</v>
      </c>
      <c r="E3" s="4">
        <v>349.756070519118</v>
      </c>
      <c r="F3" s="4">
        <v>489.19846965725202</v>
      </c>
      <c r="G3" s="1">
        <v>25</v>
      </c>
      <c r="H3" s="1">
        <v>12</v>
      </c>
      <c r="I3" s="7">
        <v>4</v>
      </c>
      <c r="J3" s="1">
        <v>7</v>
      </c>
      <c r="K3" s="1">
        <v>3</v>
      </c>
      <c r="L3" s="4">
        <v>11.381136986301399</v>
      </c>
      <c r="M3" s="4">
        <v>0.94868735083532219</v>
      </c>
      <c r="N3" s="8">
        <v>336</v>
      </c>
      <c r="O3" s="8">
        <v>56.88</v>
      </c>
      <c r="P3" s="5">
        <v>3.2749999999999999</v>
      </c>
      <c r="Q3" s="5">
        <v>0.49399999999999999</v>
      </c>
      <c r="R3" s="1">
        <v>55</v>
      </c>
      <c r="S3" s="1">
        <v>51.329039999999999</v>
      </c>
      <c r="T3" s="1">
        <v>5.0027499999999998</v>
      </c>
      <c r="U3" s="1">
        <v>0</v>
      </c>
      <c r="V3" s="1">
        <v>1</v>
      </c>
      <c r="W3" s="4">
        <f t="shared" si="0"/>
        <v>5.1312649164677815E-2</v>
      </c>
    </row>
    <row r="4" spans="1:23" x14ac:dyDescent="0.2">
      <c r="A4" s="1" t="s">
        <v>20</v>
      </c>
      <c r="B4" s="1" t="s">
        <v>18</v>
      </c>
      <c r="C4" s="1">
        <v>532.20922607666705</v>
      </c>
      <c r="D4" s="5">
        <v>60.118659007250002</v>
      </c>
      <c r="E4" s="4">
        <v>375.94073296159598</v>
      </c>
      <c r="F4" s="4">
        <v>109.30484723294801</v>
      </c>
      <c r="G4" s="1">
        <v>75</v>
      </c>
      <c r="H4" s="1">
        <v>10</v>
      </c>
      <c r="I4" s="7">
        <v>5</v>
      </c>
      <c r="J4" s="1">
        <v>6</v>
      </c>
      <c r="K4" s="1">
        <v>6</v>
      </c>
      <c r="L4" s="4">
        <v>11.381136986301399</v>
      </c>
      <c r="M4" s="4">
        <v>0.94299287410926369</v>
      </c>
      <c r="N4" s="8">
        <v>882</v>
      </c>
      <c r="O4" s="8">
        <v>38.57</v>
      </c>
      <c r="P4" s="5">
        <v>1.8</v>
      </c>
      <c r="Q4" s="5">
        <v>5.8000000000000003E-2</v>
      </c>
      <c r="R4" s="1">
        <v>40</v>
      </c>
      <c r="S4" s="1">
        <v>51.36215</v>
      </c>
      <c r="T4" s="1">
        <v>5.0325600000000001</v>
      </c>
      <c r="U4" s="1">
        <v>1</v>
      </c>
      <c r="V4" s="1">
        <v>1</v>
      </c>
      <c r="W4" s="4">
        <f t="shared" si="0"/>
        <v>5.700712589073631E-2</v>
      </c>
    </row>
    <row r="5" spans="1:23" x14ac:dyDescent="0.2">
      <c r="A5" s="1" t="s">
        <v>21</v>
      </c>
      <c r="B5" s="1" t="s">
        <v>18</v>
      </c>
      <c r="C5" s="1">
        <v>148.71383458939999</v>
      </c>
      <c r="D5" s="5">
        <v>438.94683885749998</v>
      </c>
      <c r="E5" s="4">
        <v>1613.1627053350701</v>
      </c>
      <c r="F5" s="4">
        <v>294.86967319616099</v>
      </c>
      <c r="G5" s="1">
        <v>25</v>
      </c>
      <c r="H5" s="1">
        <v>11</v>
      </c>
      <c r="I5" s="7">
        <v>4</v>
      </c>
      <c r="J5" s="1">
        <v>4</v>
      </c>
      <c r="K5" s="1">
        <v>6</v>
      </c>
      <c r="L5" s="4">
        <v>11.381136986301399</v>
      </c>
      <c r="M5" s="4">
        <v>0.95005945303210459</v>
      </c>
      <c r="N5" s="8">
        <v>180</v>
      </c>
      <c r="O5" s="8">
        <v>32.5</v>
      </c>
      <c r="P5" s="5">
        <v>3.25</v>
      </c>
      <c r="Q5" s="5">
        <v>2.125</v>
      </c>
      <c r="R5" s="1">
        <v>80</v>
      </c>
      <c r="S5" s="1">
        <v>51.3581</v>
      </c>
      <c r="T5" s="1">
        <v>4.9220100000000002</v>
      </c>
      <c r="U5" s="1">
        <v>1</v>
      </c>
      <c r="V5" s="1">
        <v>1</v>
      </c>
      <c r="W5" s="4">
        <f t="shared" si="0"/>
        <v>4.9940546967895405E-2</v>
      </c>
    </row>
    <row r="6" spans="1:23" x14ac:dyDescent="0.2">
      <c r="A6" s="1" t="s">
        <v>22</v>
      </c>
      <c r="B6" s="1" t="s">
        <v>18</v>
      </c>
      <c r="C6" s="1">
        <v>356.75320759766697</v>
      </c>
      <c r="D6" s="5">
        <v>187.96446930499999</v>
      </c>
      <c r="E6" s="4">
        <v>125.09757696375399</v>
      </c>
      <c r="F6" s="4">
        <v>1610.5485591157501</v>
      </c>
      <c r="G6" s="1">
        <v>5</v>
      </c>
      <c r="H6" s="1">
        <v>16</v>
      </c>
      <c r="I6" s="7">
        <v>4</v>
      </c>
      <c r="J6" s="1">
        <v>7</v>
      </c>
      <c r="K6" s="1">
        <v>5</v>
      </c>
      <c r="L6" s="4">
        <v>11.381136986301399</v>
      </c>
      <c r="M6" s="4">
        <v>0.94411414982164088</v>
      </c>
      <c r="N6" s="8">
        <v>4250</v>
      </c>
      <c r="O6" s="8">
        <v>28.5</v>
      </c>
      <c r="P6" s="5">
        <v>3.0750000000000002</v>
      </c>
      <c r="Q6" s="5">
        <v>0.89300000000000002</v>
      </c>
      <c r="R6" s="1">
        <v>47</v>
      </c>
      <c r="S6" s="1">
        <v>51.34308</v>
      </c>
      <c r="T6" s="1">
        <v>5.01675</v>
      </c>
      <c r="U6" s="1">
        <v>1</v>
      </c>
      <c r="V6" s="1">
        <v>1</v>
      </c>
      <c r="W6" s="4">
        <f t="shared" si="0"/>
        <v>5.588585017835912E-2</v>
      </c>
    </row>
    <row r="7" spans="1:23" x14ac:dyDescent="0.2">
      <c r="A7" s="1" t="s">
        <v>23</v>
      </c>
      <c r="B7" s="1" t="s">
        <v>18</v>
      </c>
      <c r="C7" s="1">
        <v>261.44938665866698</v>
      </c>
      <c r="D7" s="5">
        <v>413.38949763750003</v>
      </c>
      <c r="E7" s="4">
        <v>100.892460847141</v>
      </c>
      <c r="F7" s="4">
        <v>31.6186080851291</v>
      </c>
      <c r="G7" s="1">
        <v>100</v>
      </c>
      <c r="H7" s="1">
        <v>7</v>
      </c>
      <c r="I7" s="7">
        <v>8</v>
      </c>
      <c r="J7" s="1">
        <v>9</v>
      </c>
      <c r="K7" s="1">
        <v>5</v>
      </c>
      <c r="L7" s="4">
        <v>11.381136986301399</v>
      </c>
      <c r="M7" s="4">
        <v>0.94868735083532219</v>
      </c>
      <c r="N7" s="8">
        <v>990</v>
      </c>
      <c r="O7" s="8">
        <v>59.75</v>
      </c>
      <c r="P7" s="5">
        <v>1.325</v>
      </c>
      <c r="Q7" s="5">
        <v>6.6000000000000003E-2</v>
      </c>
      <c r="R7" s="1">
        <v>40</v>
      </c>
      <c r="S7" s="1">
        <v>51.326819999999998</v>
      </c>
      <c r="T7" s="1">
        <v>5.0066199999999998</v>
      </c>
      <c r="U7" s="1">
        <v>1</v>
      </c>
      <c r="V7" s="1">
        <v>1</v>
      </c>
      <c r="W7" s="4">
        <f t="shared" si="0"/>
        <v>5.1312649164677815E-2</v>
      </c>
    </row>
    <row r="8" spans="1:23" x14ac:dyDescent="0.2">
      <c r="A8" s="1" t="s">
        <v>24</v>
      </c>
      <c r="B8" s="1" t="s">
        <v>18</v>
      </c>
      <c r="C8" s="1">
        <v>631.55730261079998</v>
      </c>
      <c r="D8" s="5">
        <v>64.959723317500007</v>
      </c>
      <c r="E8" s="4">
        <v>39.654330517013399</v>
      </c>
      <c r="F8" s="4">
        <v>1035.8110634915099</v>
      </c>
      <c r="G8" s="1">
        <v>50</v>
      </c>
      <c r="H8" s="1">
        <v>15</v>
      </c>
      <c r="I8" s="7">
        <v>5</v>
      </c>
      <c r="J8" s="1">
        <v>14</v>
      </c>
      <c r="K8" s="1">
        <v>4</v>
      </c>
      <c r="L8" s="4">
        <v>11.447863013698599</v>
      </c>
      <c r="M8" s="4">
        <v>0.89028571428571424</v>
      </c>
      <c r="N8" s="8">
        <v>495</v>
      </c>
      <c r="O8" s="8">
        <v>85</v>
      </c>
      <c r="P8" s="5">
        <v>1.2749999999999999</v>
      </c>
      <c r="Q8" s="5">
        <v>0.114</v>
      </c>
      <c r="R8" s="1">
        <v>85</v>
      </c>
      <c r="S8" s="1">
        <v>50.957790000000003</v>
      </c>
      <c r="T8" s="1">
        <v>5.0231700000000004</v>
      </c>
      <c r="U8" s="1">
        <v>1</v>
      </c>
      <c r="V8" s="1">
        <v>1</v>
      </c>
      <c r="W8" s="4">
        <f t="shared" si="0"/>
        <v>0.10971428571428576</v>
      </c>
    </row>
    <row r="9" spans="1:23" x14ac:dyDescent="0.2">
      <c r="A9" s="1" t="s">
        <v>25</v>
      </c>
      <c r="B9" s="1" t="s">
        <v>18</v>
      </c>
      <c r="C9" s="1">
        <v>472.36489259989997</v>
      </c>
      <c r="D9" s="5">
        <v>37.616469139000003</v>
      </c>
      <c r="E9" s="4">
        <v>1.61355956777626</v>
      </c>
      <c r="F9" s="4">
        <v>1084.1817217072</v>
      </c>
      <c r="G9" s="1">
        <v>50</v>
      </c>
      <c r="H9" s="1">
        <v>18</v>
      </c>
      <c r="I9" s="7">
        <v>7</v>
      </c>
      <c r="J9" s="1">
        <v>11</v>
      </c>
      <c r="K9" s="1">
        <v>5</v>
      </c>
      <c r="L9" s="4">
        <v>11.4726301369863</v>
      </c>
      <c r="M9" s="4">
        <v>0.88528389339513325</v>
      </c>
      <c r="N9" s="8">
        <v>64</v>
      </c>
      <c r="O9" s="8">
        <v>115.71</v>
      </c>
      <c r="P9" s="5">
        <v>1.625</v>
      </c>
      <c r="Q9" s="5">
        <v>5.8999999999999997E-2</v>
      </c>
      <c r="R9" s="1">
        <v>30</v>
      </c>
      <c r="S9" s="1">
        <v>50.973260000000003</v>
      </c>
      <c r="T9" s="1">
        <v>4.79223</v>
      </c>
      <c r="U9" s="1">
        <v>1</v>
      </c>
      <c r="V9" s="1">
        <v>1</v>
      </c>
      <c r="W9" s="4">
        <f t="shared" si="0"/>
        <v>0.11471610660486675</v>
      </c>
    </row>
    <row r="10" spans="1:23" x14ac:dyDescent="0.2">
      <c r="A10" s="1" t="s">
        <v>26</v>
      </c>
      <c r="B10" s="1" t="s">
        <v>18</v>
      </c>
      <c r="C10" s="1">
        <v>893.34159570033296</v>
      </c>
      <c r="D10" s="5">
        <v>175.7510105575</v>
      </c>
      <c r="E10" s="4">
        <v>3.95034281884233</v>
      </c>
      <c r="F10" s="4">
        <v>42.3868890074395</v>
      </c>
      <c r="G10" s="1">
        <v>75</v>
      </c>
      <c r="H10" s="1">
        <v>9</v>
      </c>
      <c r="I10" s="7">
        <v>3</v>
      </c>
      <c r="J10" s="1">
        <v>8</v>
      </c>
      <c r="K10" s="1">
        <v>4</v>
      </c>
      <c r="L10" s="4">
        <v>11.447863013698599</v>
      </c>
      <c r="M10" s="4">
        <v>0.88597491448118582</v>
      </c>
      <c r="N10" s="8">
        <v>650</v>
      </c>
      <c r="O10" s="8">
        <v>65.5</v>
      </c>
      <c r="P10" s="5">
        <v>1.85</v>
      </c>
      <c r="Q10" s="5">
        <v>0.68600000000000005</v>
      </c>
      <c r="R10" s="1">
        <v>100</v>
      </c>
      <c r="S10" s="1">
        <v>50.962739999999997</v>
      </c>
      <c r="T10" s="1">
        <v>5.0418200000000004</v>
      </c>
      <c r="U10" s="1">
        <v>1</v>
      </c>
      <c r="V10" s="1">
        <v>1</v>
      </c>
      <c r="W10" s="4">
        <f t="shared" si="0"/>
        <v>0.11402508551881418</v>
      </c>
    </row>
    <row r="11" spans="1:23" x14ac:dyDescent="0.2">
      <c r="A11" s="1" t="s">
        <v>27</v>
      </c>
      <c r="B11" s="1" t="s">
        <v>18</v>
      </c>
      <c r="C11" s="1">
        <v>424.69468774400002</v>
      </c>
      <c r="D11" s="5">
        <v>382.985334325</v>
      </c>
      <c r="E11" s="4">
        <v>8.3402725896455401</v>
      </c>
      <c r="F11" s="4">
        <v>242.609479393295</v>
      </c>
      <c r="G11" s="1">
        <v>25</v>
      </c>
      <c r="H11" s="1">
        <v>7</v>
      </c>
      <c r="I11" s="7">
        <v>7</v>
      </c>
      <c r="J11" s="1">
        <v>4</v>
      </c>
      <c r="K11" s="1">
        <v>1</v>
      </c>
      <c r="L11" s="4">
        <v>11.447863013698599</v>
      </c>
      <c r="M11" s="4">
        <v>0.88696655132641289</v>
      </c>
      <c r="N11" s="8">
        <v>250</v>
      </c>
      <c r="O11" s="8">
        <v>94.88</v>
      </c>
      <c r="P11" s="5">
        <v>2.0499999999999998</v>
      </c>
      <c r="Q11" s="5">
        <v>9.4E-2</v>
      </c>
      <c r="R11" s="1">
        <v>100</v>
      </c>
      <c r="S11" s="1">
        <v>50.881729999999997</v>
      </c>
      <c r="T11" s="1">
        <v>4.9111799999999999</v>
      </c>
      <c r="U11" s="1">
        <v>1</v>
      </c>
      <c r="V11" s="1">
        <v>1</v>
      </c>
      <c r="W11" s="4">
        <f t="shared" si="0"/>
        <v>0.11303344867358711</v>
      </c>
    </row>
    <row r="12" spans="1:23" x14ac:dyDescent="0.2">
      <c r="A12" s="1" t="s">
        <v>28</v>
      </c>
      <c r="B12" s="1" t="s">
        <v>18</v>
      </c>
      <c r="C12" s="1">
        <v>433.36067320450002</v>
      </c>
      <c r="D12" s="5">
        <v>191.031156495</v>
      </c>
      <c r="E12" s="4">
        <v>58.661660286406203</v>
      </c>
      <c r="F12" s="4">
        <v>257.068247774805</v>
      </c>
      <c r="G12" s="1">
        <v>5</v>
      </c>
      <c r="H12" s="1">
        <v>7</v>
      </c>
      <c r="I12" s="7">
        <v>6</v>
      </c>
      <c r="J12" s="1">
        <v>4</v>
      </c>
      <c r="K12" s="1">
        <v>2</v>
      </c>
      <c r="L12" s="4">
        <v>11.4726301369863</v>
      </c>
      <c r="M12" s="4">
        <v>0.88221709006928406</v>
      </c>
      <c r="N12" s="8">
        <v>169</v>
      </c>
      <c r="O12" s="8">
        <v>77.75</v>
      </c>
      <c r="P12" s="5">
        <v>6.625</v>
      </c>
      <c r="Q12" s="5">
        <v>7.1999999999999995E-2</v>
      </c>
      <c r="R12" s="1">
        <v>90</v>
      </c>
      <c r="S12" s="1">
        <v>50.965510000000002</v>
      </c>
      <c r="T12" s="1">
        <v>4.8310700000000004</v>
      </c>
      <c r="U12" s="1">
        <v>1</v>
      </c>
      <c r="V12" s="1">
        <v>1</v>
      </c>
      <c r="W12" s="4">
        <f t="shared" si="0"/>
        <v>0.11778290993071594</v>
      </c>
    </row>
    <row r="13" spans="1:23" x14ac:dyDescent="0.2">
      <c r="A13" s="1" t="s">
        <v>29</v>
      </c>
      <c r="B13" s="1" t="s">
        <v>18</v>
      </c>
      <c r="C13" s="1">
        <v>521.21030823083299</v>
      </c>
      <c r="D13" s="5">
        <v>265.81603645000001</v>
      </c>
      <c r="E13" s="4">
        <v>0.64400000000000002</v>
      </c>
      <c r="F13" s="4">
        <v>4.8608935524447796</v>
      </c>
      <c r="G13" s="1">
        <v>25</v>
      </c>
      <c r="H13" s="1">
        <v>5</v>
      </c>
      <c r="I13" s="7">
        <v>3</v>
      </c>
      <c r="J13" s="1">
        <v>2</v>
      </c>
      <c r="K13" s="1">
        <v>2</v>
      </c>
      <c r="L13" s="4">
        <v>11.447863013698599</v>
      </c>
      <c r="M13" s="4">
        <v>0.8810068649885584</v>
      </c>
      <c r="N13" s="8">
        <v>98</v>
      </c>
      <c r="O13" s="8">
        <v>42.5</v>
      </c>
      <c r="P13" s="5">
        <v>4.0999999999999996</v>
      </c>
      <c r="Q13" s="5">
        <v>1.8420000000000001</v>
      </c>
      <c r="R13" s="1">
        <v>95</v>
      </c>
      <c r="S13" s="1">
        <v>50.928890000000003</v>
      </c>
      <c r="T13" s="1">
        <v>4.9429499999999997</v>
      </c>
      <c r="U13" s="1">
        <v>0</v>
      </c>
      <c r="V13" s="1">
        <v>1</v>
      </c>
      <c r="W13" s="4">
        <f t="shared" si="0"/>
        <v>0.1189931350114416</v>
      </c>
    </row>
    <row r="14" spans="1:23" x14ac:dyDescent="0.2">
      <c r="A14" s="1" t="s">
        <v>30</v>
      </c>
      <c r="B14" s="1" t="s">
        <v>18</v>
      </c>
      <c r="C14" s="1">
        <v>255.43365660278599</v>
      </c>
      <c r="D14" s="5">
        <v>8.2737613369999998</v>
      </c>
      <c r="E14" s="4">
        <v>200.22772199764901</v>
      </c>
      <c r="F14" s="4">
        <v>88.142149279711603</v>
      </c>
      <c r="G14" s="1">
        <v>75</v>
      </c>
      <c r="H14" s="1">
        <v>10</v>
      </c>
      <c r="I14" s="7">
        <v>5</v>
      </c>
      <c r="J14" s="1">
        <v>5</v>
      </c>
      <c r="K14" s="1">
        <v>4</v>
      </c>
      <c r="L14" s="4">
        <v>11.4184657534247</v>
      </c>
      <c r="M14" s="4">
        <v>0.85868263473053896</v>
      </c>
      <c r="N14" s="8">
        <v>798</v>
      </c>
      <c r="O14" s="8">
        <v>88.88</v>
      </c>
      <c r="P14" s="5">
        <v>1.2</v>
      </c>
      <c r="Q14" s="5">
        <v>4.8000000000000001E-2</v>
      </c>
      <c r="R14" s="1">
        <v>60</v>
      </c>
      <c r="S14" s="1">
        <v>51.170580000000001</v>
      </c>
      <c r="T14" s="1">
        <v>5.6590800000000003</v>
      </c>
      <c r="U14" s="1">
        <v>1</v>
      </c>
      <c r="V14" s="1">
        <v>0</v>
      </c>
      <c r="W14" s="4">
        <f t="shared" si="0"/>
        <v>0.14131736526946104</v>
      </c>
    </row>
    <row r="15" spans="1:23" x14ac:dyDescent="0.2">
      <c r="A15" s="1" t="s">
        <v>31</v>
      </c>
      <c r="B15" s="1" t="s">
        <v>18</v>
      </c>
      <c r="C15" s="1">
        <v>1444.97275676902</v>
      </c>
      <c r="D15" s="5">
        <v>135.59290448749999</v>
      </c>
      <c r="E15" s="4">
        <v>9.8455655305115304</v>
      </c>
      <c r="F15" s="4">
        <v>5126.8739765551099</v>
      </c>
      <c r="G15" s="1">
        <v>25</v>
      </c>
      <c r="H15" s="1">
        <v>15</v>
      </c>
      <c r="I15" s="7">
        <v>5</v>
      </c>
      <c r="J15" s="1">
        <v>14</v>
      </c>
      <c r="K15" s="1">
        <v>5</v>
      </c>
      <c r="L15" s="4">
        <v>11.4184657534247</v>
      </c>
      <c r="M15" s="4">
        <v>0.84826762246117082</v>
      </c>
      <c r="N15" s="8">
        <v>1200</v>
      </c>
      <c r="O15" s="8">
        <v>79.38</v>
      </c>
      <c r="P15" s="5">
        <v>3.25</v>
      </c>
      <c r="Q15" s="5">
        <v>0.65900000000000003</v>
      </c>
      <c r="R15" s="1">
        <v>60</v>
      </c>
      <c r="S15" s="1">
        <v>51.169069999999998</v>
      </c>
      <c r="T15" s="1">
        <v>5.6730400000000003</v>
      </c>
      <c r="U15" s="1">
        <v>1</v>
      </c>
      <c r="V15" s="1">
        <v>1</v>
      </c>
      <c r="W15" s="4">
        <f t="shared" si="0"/>
        <v>0.15173237753882918</v>
      </c>
    </row>
    <row r="16" spans="1:23" x14ac:dyDescent="0.2">
      <c r="A16" s="1" t="s">
        <v>32</v>
      </c>
      <c r="B16" s="1" t="s">
        <v>18</v>
      </c>
      <c r="C16" s="1">
        <v>435.51898463449999</v>
      </c>
      <c r="D16" s="5">
        <v>77.222706763999994</v>
      </c>
      <c r="E16" s="4">
        <v>35.534349523560302</v>
      </c>
      <c r="F16" s="4">
        <v>636.58686754530402</v>
      </c>
      <c r="G16" s="1">
        <v>25</v>
      </c>
      <c r="H16" s="1">
        <v>21</v>
      </c>
      <c r="I16" s="7">
        <v>7</v>
      </c>
      <c r="J16" s="1">
        <v>17</v>
      </c>
      <c r="K16" s="1">
        <v>3</v>
      </c>
      <c r="L16" s="4">
        <v>11.4184657534247</v>
      </c>
      <c r="M16" s="4">
        <v>0.85868263473053896</v>
      </c>
      <c r="N16" s="8">
        <v>928</v>
      </c>
      <c r="O16" s="8">
        <v>74.63</v>
      </c>
      <c r="P16" s="5">
        <v>2.125</v>
      </c>
      <c r="Q16" s="5">
        <v>0.79400000000000004</v>
      </c>
      <c r="R16" s="1">
        <v>30</v>
      </c>
      <c r="S16" s="1">
        <v>51.199660000000002</v>
      </c>
      <c r="T16" s="1">
        <v>5.6295500000000001</v>
      </c>
      <c r="U16" s="1">
        <v>1</v>
      </c>
      <c r="V16" s="1">
        <v>1</v>
      </c>
      <c r="W16" s="4">
        <f t="shared" si="0"/>
        <v>0.14131736526946104</v>
      </c>
    </row>
    <row r="17" spans="1:23" x14ac:dyDescent="0.2">
      <c r="A17" s="1" t="s">
        <v>33</v>
      </c>
      <c r="B17" s="1" t="s">
        <v>18</v>
      </c>
      <c r="C17" s="1">
        <v>969.786562269</v>
      </c>
      <c r="D17" s="5">
        <v>34.5122710375</v>
      </c>
      <c r="E17" s="4">
        <v>23.047105979532901</v>
      </c>
      <c r="F17" s="4">
        <v>58.395403504429503</v>
      </c>
      <c r="G17" s="1">
        <v>75</v>
      </c>
      <c r="H17" s="1">
        <v>11</v>
      </c>
      <c r="I17" s="7">
        <v>6</v>
      </c>
      <c r="J17" s="1">
        <v>9</v>
      </c>
      <c r="K17" s="1">
        <v>4</v>
      </c>
      <c r="L17" s="4">
        <v>11.4184657534247</v>
      </c>
      <c r="M17" s="4">
        <v>0.86074429771908767</v>
      </c>
      <c r="N17" s="8">
        <v>380</v>
      </c>
      <c r="O17" s="8">
        <v>83.75</v>
      </c>
      <c r="P17" s="5">
        <v>1.85</v>
      </c>
      <c r="Q17" s="5">
        <v>0.29299999999999998</v>
      </c>
      <c r="R17" s="1">
        <v>55</v>
      </c>
      <c r="S17" s="1">
        <v>51.179870000000001</v>
      </c>
      <c r="T17" s="1">
        <v>5.6294000000000004</v>
      </c>
      <c r="U17" s="1">
        <v>0</v>
      </c>
      <c r="V17" s="1">
        <v>1</v>
      </c>
      <c r="W17" s="4">
        <f t="shared" si="0"/>
        <v>0.13925570228091233</v>
      </c>
    </row>
    <row r="18" spans="1:23" x14ac:dyDescent="0.2">
      <c r="A18" s="1" t="s">
        <v>34</v>
      </c>
      <c r="B18" s="1" t="s">
        <v>18</v>
      </c>
      <c r="C18" s="1">
        <v>21.8330575118</v>
      </c>
      <c r="D18" s="4"/>
      <c r="E18" s="4">
        <v>0.23403284399999999</v>
      </c>
      <c r="F18" s="4">
        <v>5277.1230324305297</v>
      </c>
      <c r="G18" s="1">
        <v>100</v>
      </c>
      <c r="H18" s="1">
        <v>15</v>
      </c>
      <c r="I18" s="7">
        <v>3</v>
      </c>
      <c r="J18" s="1">
        <v>6</v>
      </c>
      <c r="K18" s="1">
        <v>4</v>
      </c>
      <c r="L18" s="4">
        <v>11.4184657534247</v>
      </c>
      <c r="M18" s="4">
        <v>0.85491606714628299</v>
      </c>
      <c r="N18" s="8">
        <v>1500</v>
      </c>
      <c r="O18" s="8">
        <v>17.88</v>
      </c>
      <c r="P18" s="5">
        <v>3.1</v>
      </c>
      <c r="Q18" s="5">
        <v>0.35599999999999998</v>
      </c>
      <c r="R18" s="1">
        <v>80</v>
      </c>
      <c r="S18" s="1">
        <v>51.164389999999997</v>
      </c>
      <c r="T18" s="1">
        <v>5.6683500000000002</v>
      </c>
      <c r="U18" s="1">
        <v>1</v>
      </c>
      <c r="V18" s="1">
        <v>0</v>
      </c>
      <c r="W18" s="4">
        <f t="shared" si="0"/>
        <v>0.14508393285371701</v>
      </c>
    </row>
    <row r="19" spans="1:23" x14ac:dyDescent="0.2">
      <c r="A19" s="1" t="s">
        <v>35</v>
      </c>
      <c r="B19" s="1" t="s">
        <v>18</v>
      </c>
      <c r="C19" s="1">
        <v>15.157669910499999</v>
      </c>
      <c r="D19" s="4"/>
      <c r="E19" s="4">
        <v>140.33968808369801</v>
      </c>
      <c r="F19" s="4">
        <v>137.52816112489401</v>
      </c>
      <c r="G19" s="1">
        <v>25</v>
      </c>
      <c r="H19" s="1">
        <v>9</v>
      </c>
      <c r="I19" s="7">
        <v>6</v>
      </c>
      <c r="J19" s="1">
        <v>2</v>
      </c>
      <c r="K19" s="1">
        <v>4</v>
      </c>
      <c r="L19" s="4">
        <v>11.3930410958904</v>
      </c>
      <c r="M19" s="4">
        <v>0.87575392038600719</v>
      </c>
      <c r="N19" s="8">
        <v>108</v>
      </c>
      <c r="O19" s="8">
        <v>44.25</v>
      </c>
      <c r="P19" s="5">
        <v>2</v>
      </c>
      <c r="Q19" s="5">
        <v>0.10199999999999999</v>
      </c>
      <c r="R19" s="1">
        <v>73</v>
      </c>
      <c r="S19" s="1">
        <v>51.194609999999997</v>
      </c>
      <c r="T19" s="1">
        <v>5.60548</v>
      </c>
      <c r="U19" s="1">
        <v>1</v>
      </c>
      <c r="V19" s="1">
        <v>0</v>
      </c>
      <c r="W19" s="4">
        <f t="shared" si="0"/>
        <v>0.12424607961399281</v>
      </c>
    </row>
    <row r="20" spans="1:23" x14ac:dyDescent="0.2">
      <c r="A20" s="1" t="s">
        <v>36</v>
      </c>
      <c r="B20" s="1" t="s">
        <v>18</v>
      </c>
      <c r="C20" s="1">
        <v>2256.7611048395001</v>
      </c>
      <c r="D20" s="5">
        <v>105.09977109</v>
      </c>
      <c r="E20" s="4">
        <v>15.012416658628901</v>
      </c>
      <c r="F20" s="4">
        <v>2386.31464229732</v>
      </c>
      <c r="G20" s="1">
        <v>25</v>
      </c>
      <c r="H20" s="1">
        <v>13</v>
      </c>
      <c r="I20" s="1">
        <v>2</v>
      </c>
      <c r="J20" s="1">
        <v>12</v>
      </c>
      <c r="K20" s="1">
        <v>5</v>
      </c>
      <c r="L20" s="4">
        <v>11.427136986301401</v>
      </c>
      <c r="M20" s="4">
        <v>0.93168433451118959</v>
      </c>
      <c r="N20" s="8">
        <v>342</v>
      </c>
      <c r="O20" s="8">
        <v>59.13</v>
      </c>
      <c r="P20" s="5">
        <v>3.9</v>
      </c>
      <c r="Q20" s="5">
        <v>0.93600000000000005</v>
      </c>
      <c r="R20" s="1">
        <v>72</v>
      </c>
      <c r="S20" s="1">
        <v>50.932600000000001</v>
      </c>
      <c r="T20" s="1">
        <v>5.3083600000000004</v>
      </c>
      <c r="U20" s="1">
        <v>1</v>
      </c>
      <c r="V20" s="1">
        <v>1</v>
      </c>
      <c r="W20" s="4">
        <f t="shared" si="0"/>
        <v>6.8315665488810406E-2</v>
      </c>
    </row>
    <row r="21" spans="1:23" x14ac:dyDescent="0.2">
      <c r="A21" s="1" t="s">
        <v>37</v>
      </c>
      <c r="B21" s="1" t="s">
        <v>18</v>
      </c>
      <c r="C21" s="1">
        <v>39.951952383833301</v>
      </c>
      <c r="D21" s="5">
        <v>82.570170614999995</v>
      </c>
      <c r="E21" s="4">
        <v>46.002084427563702</v>
      </c>
      <c r="F21" s="4">
        <v>163.584363752255</v>
      </c>
      <c r="G21" s="1">
        <v>25</v>
      </c>
      <c r="H21" s="1">
        <v>18</v>
      </c>
      <c r="I21" s="7">
        <v>4</v>
      </c>
      <c r="J21" s="1">
        <v>11</v>
      </c>
      <c r="K21" s="1">
        <v>4</v>
      </c>
      <c r="L21" s="4">
        <v>11.427136986301401</v>
      </c>
      <c r="M21" s="4">
        <v>0.91958041958041958</v>
      </c>
      <c r="N21" s="8">
        <v>440</v>
      </c>
      <c r="O21" s="8">
        <v>72.5</v>
      </c>
      <c r="P21" s="5">
        <v>2.9249999999999998</v>
      </c>
      <c r="Q21" s="5">
        <v>0.184</v>
      </c>
      <c r="R21" s="1">
        <v>85</v>
      </c>
      <c r="S21" s="1">
        <v>50.881180000000001</v>
      </c>
      <c r="T21" s="1">
        <v>5.2940100000000001</v>
      </c>
      <c r="U21" s="1">
        <v>1</v>
      </c>
      <c r="V21" s="1">
        <v>1</v>
      </c>
      <c r="W21" s="4">
        <f t="shared" si="0"/>
        <v>8.0419580419580416E-2</v>
      </c>
    </row>
    <row r="22" spans="1:23" x14ac:dyDescent="0.2">
      <c r="A22" s="1" t="s">
        <v>38</v>
      </c>
      <c r="B22" s="1" t="s">
        <v>18</v>
      </c>
      <c r="D22" s="5">
        <v>195.02995720000001</v>
      </c>
      <c r="E22" s="4">
        <v>397.98201359634902</v>
      </c>
      <c r="F22" s="4">
        <v>36.0672731871012</v>
      </c>
      <c r="G22" s="1">
        <v>75</v>
      </c>
      <c r="H22" s="7">
        <v>7</v>
      </c>
      <c r="I22" s="7">
        <v>4</v>
      </c>
      <c r="J22" s="1">
        <v>3</v>
      </c>
      <c r="K22" s="1">
        <v>4</v>
      </c>
      <c r="L22" s="4">
        <v>11.427136986301401</v>
      </c>
      <c r="M22" s="4">
        <v>0.91405342624854824</v>
      </c>
      <c r="N22" s="8">
        <v>105</v>
      </c>
      <c r="O22" s="8">
        <v>39.86</v>
      </c>
      <c r="P22" s="5">
        <v>1.1000000000000001</v>
      </c>
      <c r="Q22" s="5">
        <v>3.069</v>
      </c>
      <c r="R22" s="1">
        <v>87</v>
      </c>
      <c r="S22" s="1">
        <v>50.930840000000003</v>
      </c>
      <c r="T22" s="1">
        <v>5.2375600000000002</v>
      </c>
      <c r="U22" s="1">
        <v>1</v>
      </c>
      <c r="V22" s="1">
        <v>1</v>
      </c>
      <c r="W22" s="4">
        <f t="shared" si="0"/>
        <v>8.594657375145176E-2</v>
      </c>
    </row>
    <row r="23" spans="1:23" x14ac:dyDescent="0.2">
      <c r="A23" s="1" t="s">
        <v>39</v>
      </c>
      <c r="B23" s="1" t="s">
        <v>18</v>
      </c>
      <c r="C23" s="1">
        <v>736.76272767421403</v>
      </c>
      <c r="D23" s="5">
        <v>25.693051000000001</v>
      </c>
      <c r="E23" s="4">
        <v>76.206118658038804</v>
      </c>
      <c r="F23" s="4">
        <v>143.704694847832</v>
      </c>
      <c r="G23" s="1">
        <v>75</v>
      </c>
      <c r="H23" s="1">
        <v>10</v>
      </c>
      <c r="I23" s="7">
        <v>5</v>
      </c>
      <c r="J23" s="1">
        <v>12</v>
      </c>
      <c r="K23" s="1">
        <v>4</v>
      </c>
      <c r="L23" s="4">
        <v>11.427136986301401</v>
      </c>
      <c r="M23" s="4">
        <v>0.92388758782201408</v>
      </c>
      <c r="N23" s="8">
        <v>540</v>
      </c>
      <c r="O23" s="8">
        <v>95</v>
      </c>
      <c r="P23" s="5">
        <v>2.5750000000000002</v>
      </c>
      <c r="Q23" s="5">
        <v>0.10100000000000001</v>
      </c>
      <c r="R23" s="1">
        <v>80</v>
      </c>
      <c r="S23" s="1">
        <v>50.890790000000003</v>
      </c>
      <c r="T23" s="1">
        <v>5.31473</v>
      </c>
      <c r="U23" s="1">
        <v>1</v>
      </c>
      <c r="V23" s="1">
        <v>1</v>
      </c>
      <c r="W23" s="4">
        <f t="shared" si="0"/>
        <v>7.6112412177985922E-2</v>
      </c>
    </row>
    <row r="24" spans="1:23" x14ac:dyDescent="0.2">
      <c r="A24" s="1" t="s">
        <v>40</v>
      </c>
      <c r="B24" s="1" t="s">
        <v>18</v>
      </c>
      <c r="C24" s="1">
        <v>228.376767434333</v>
      </c>
      <c r="D24" s="5">
        <v>43.598688545999998</v>
      </c>
      <c r="E24" s="4">
        <v>144.25357968825</v>
      </c>
      <c r="F24" s="4">
        <v>1279.9034439519401</v>
      </c>
      <c r="G24" s="1">
        <v>50</v>
      </c>
      <c r="H24" s="1">
        <v>11</v>
      </c>
      <c r="I24" s="7">
        <v>5</v>
      </c>
      <c r="J24" s="1">
        <v>8</v>
      </c>
      <c r="K24" s="1">
        <v>5</v>
      </c>
      <c r="L24" s="4">
        <v>11.060356164383601</v>
      </c>
      <c r="M24" s="4">
        <v>0.91627906976744189</v>
      </c>
      <c r="N24" s="8">
        <v>322</v>
      </c>
      <c r="O24" s="8">
        <v>79.38</v>
      </c>
      <c r="P24" s="5">
        <v>1.45</v>
      </c>
      <c r="Q24" s="5">
        <v>6.5000000000000002E-2</v>
      </c>
      <c r="R24" s="1">
        <v>90</v>
      </c>
      <c r="S24" s="1">
        <v>50.851320000000001</v>
      </c>
      <c r="T24" s="1">
        <v>5.2191700000000001</v>
      </c>
      <c r="U24" s="1">
        <v>0</v>
      </c>
      <c r="V24" s="1">
        <v>1</v>
      </c>
      <c r="W24" s="4">
        <f t="shared" si="0"/>
        <v>8.3720930232558111E-2</v>
      </c>
    </row>
    <row r="25" spans="1:23" x14ac:dyDescent="0.2">
      <c r="A25" s="1" t="s">
        <v>41</v>
      </c>
      <c r="B25" s="1" t="s">
        <v>18</v>
      </c>
      <c r="C25" s="1">
        <v>908.15610980666702</v>
      </c>
      <c r="D25" s="5">
        <v>146.2460383575</v>
      </c>
      <c r="E25" s="4">
        <v>768.83860347268399</v>
      </c>
      <c r="F25" s="4">
        <v>209.48492681153201</v>
      </c>
      <c r="G25" s="1">
        <v>50</v>
      </c>
      <c r="H25" s="1">
        <v>6</v>
      </c>
      <c r="I25" s="7">
        <v>8</v>
      </c>
      <c r="J25" s="1">
        <v>5</v>
      </c>
      <c r="K25" s="1">
        <v>1</v>
      </c>
      <c r="L25" s="4">
        <v>11.427136986301401</v>
      </c>
      <c r="M25" s="4">
        <v>0.91618160651920844</v>
      </c>
      <c r="N25" s="8">
        <v>96</v>
      </c>
      <c r="O25" s="8">
        <v>38.14</v>
      </c>
      <c r="P25" s="5">
        <v>4.6500000000000004</v>
      </c>
      <c r="Q25" s="5">
        <v>0.80100000000000005</v>
      </c>
      <c r="R25" s="1">
        <v>95</v>
      </c>
      <c r="S25" s="1">
        <v>50.933509999999998</v>
      </c>
      <c r="T25" s="1">
        <v>5.2479100000000001</v>
      </c>
      <c r="U25" s="1">
        <v>0</v>
      </c>
      <c r="V25" s="1">
        <v>0</v>
      </c>
      <c r="W25" s="4">
        <f t="shared" si="0"/>
        <v>8.3818393480791564E-2</v>
      </c>
    </row>
    <row r="26" spans="1:23" x14ac:dyDescent="0.2">
      <c r="A26" s="1" t="s">
        <v>42</v>
      </c>
      <c r="B26" s="1" t="s">
        <v>18</v>
      </c>
      <c r="D26" s="5">
        <v>53.46141609</v>
      </c>
      <c r="E26" s="4"/>
      <c r="F26" s="4">
        <v>272.338019837248</v>
      </c>
      <c r="G26" s="1">
        <v>25</v>
      </c>
      <c r="H26" s="1">
        <v>6</v>
      </c>
      <c r="I26" s="7">
        <v>7</v>
      </c>
      <c r="J26" s="1">
        <v>3</v>
      </c>
      <c r="K26" s="1">
        <v>1</v>
      </c>
      <c r="L26" s="4">
        <v>11.4292602739726</v>
      </c>
      <c r="M26" s="4">
        <v>0.93357058125741399</v>
      </c>
      <c r="N26" s="8">
        <v>130</v>
      </c>
      <c r="O26" s="8">
        <v>51.75</v>
      </c>
      <c r="P26" s="5">
        <v>4.3</v>
      </c>
      <c r="Q26" s="5">
        <v>3.7080000000000002</v>
      </c>
      <c r="R26" s="1">
        <v>97</v>
      </c>
      <c r="S26" s="1">
        <v>50.984999999999999</v>
      </c>
      <c r="T26" s="1">
        <v>3.83352</v>
      </c>
      <c r="U26" s="1">
        <v>0</v>
      </c>
      <c r="V26" s="1">
        <v>0</v>
      </c>
      <c r="W26" s="4">
        <f t="shared" si="0"/>
        <v>6.6429418742586011E-2</v>
      </c>
    </row>
    <row r="27" spans="1:23" x14ac:dyDescent="0.2">
      <c r="A27" s="1" t="s">
        <v>43</v>
      </c>
      <c r="B27" s="1" t="s">
        <v>18</v>
      </c>
      <c r="C27" s="1">
        <v>255.27247850238101</v>
      </c>
      <c r="D27" s="5">
        <v>385.35302839000002</v>
      </c>
      <c r="E27" s="4">
        <v>1.0057258761749099</v>
      </c>
      <c r="F27" s="4">
        <v>159.04951966157401</v>
      </c>
      <c r="G27" s="1">
        <v>25</v>
      </c>
      <c r="H27" s="1">
        <v>9</v>
      </c>
      <c r="I27" s="7">
        <v>4</v>
      </c>
      <c r="J27" s="1">
        <v>9</v>
      </c>
      <c r="K27" s="1">
        <v>6</v>
      </c>
      <c r="L27" s="4">
        <v>11.4395890410959</v>
      </c>
      <c r="M27" s="4">
        <v>0.92636579572446553</v>
      </c>
      <c r="N27" s="8">
        <v>702</v>
      </c>
      <c r="O27" s="8">
        <v>83.63</v>
      </c>
      <c r="P27" s="5">
        <v>3.7</v>
      </c>
      <c r="Q27" s="5">
        <v>0.34699999999999998</v>
      </c>
      <c r="R27" s="1">
        <v>93</v>
      </c>
      <c r="S27" s="1">
        <v>51.023969999999998</v>
      </c>
      <c r="T27" s="1">
        <v>3.8845700000000001</v>
      </c>
      <c r="U27" s="1">
        <v>1</v>
      </c>
      <c r="V27" s="1">
        <v>1</v>
      </c>
      <c r="W27" s="4">
        <f t="shared" si="0"/>
        <v>7.3634204275534465E-2</v>
      </c>
    </row>
    <row r="28" spans="1:23" x14ac:dyDescent="0.2">
      <c r="A28" s="1" t="s">
        <v>44</v>
      </c>
      <c r="B28" s="1" t="s">
        <v>18</v>
      </c>
      <c r="C28" s="1">
        <v>657.56602352183302</v>
      </c>
      <c r="D28" s="5">
        <v>26.606549907249999</v>
      </c>
      <c r="E28" s="4">
        <v>1.9954556131108201</v>
      </c>
      <c r="F28" s="4">
        <v>962.52653375789498</v>
      </c>
      <c r="G28" s="1">
        <v>100</v>
      </c>
      <c r="H28" s="1">
        <v>25</v>
      </c>
      <c r="I28" s="7">
        <v>4</v>
      </c>
      <c r="J28" s="1">
        <v>9</v>
      </c>
      <c r="K28" s="1">
        <v>6</v>
      </c>
      <c r="L28" s="4">
        <v>11.4395890410959</v>
      </c>
      <c r="M28" s="4">
        <v>0.92951015531660697</v>
      </c>
      <c r="N28" s="8">
        <v>1200</v>
      </c>
      <c r="O28" s="8">
        <v>98.5</v>
      </c>
      <c r="P28" s="5">
        <v>1.25</v>
      </c>
      <c r="Q28" s="5">
        <v>0.13800000000000001</v>
      </c>
      <c r="R28" s="1">
        <v>42</v>
      </c>
      <c r="S28" s="1">
        <v>51.035519999999998</v>
      </c>
      <c r="T28" s="1">
        <v>3.9350499999999999</v>
      </c>
      <c r="U28" s="1">
        <v>1</v>
      </c>
      <c r="V28" s="1">
        <v>1</v>
      </c>
      <c r="W28" s="4">
        <f t="shared" si="0"/>
        <v>7.0489844683393033E-2</v>
      </c>
    </row>
    <row r="29" spans="1:23" x14ac:dyDescent="0.2">
      <c r="A29" s="1" t="s">
        <v>45</v>
      </c>
      <c r="B29" s="1" t="s">
        <v>18</v>
      </c>
      <c r="C29" s="1">
        <v>332.73454044055001</v>
      </c>
      <c r="D29" s="5">
        <v>83.847327504999996</v>
      </c>
      <c r="E29" s="4">
        <v>7.1898684330256399</v>
      </c>
      <c r="F29" s="4">
        <v>1104.2813692091599</v>
      </c>
      <c r="G29" s="1">
        <v>25</v>
      </c>
      <c r="H29" s="1">
        <v>14</v>
      </c>
      <c r="I29" s="7">
        <v>7</v>
      </c>
      <c r="J29" s="1">
        <v>15</v>
      </c>
      <c r="K29" s="1">
        <v>3</v>
      </c>
      <c r="L29" s="4">
        <v>11.4395890410959</v>
      </c>
      <c r="M29" s="4">
        <v>0.92061611374407581</v>
      </c>
      <c r="N29" s="8">
        <v>108</v>
      </c>
      <c r="O29" s="8">
        <v>115.63</v>
      </c>
      <c r="P29" s="5">
        <v>1.7250000000000001</v>
      </c>
      <c r="Q29" s="5">
        <v>0.30299999999999999</v>
      </c>
      <c r="R29" s="1">
        <v>80</v>
      </c>
      <c r="S29" s="1">
        <v>51.013150000000003</v>
      </c>
      <c r="T29" s="1">
        <v>3.98889</v>
      </c>
      <c r="U29" s="1">
        <v>1</v>
      </c>
      <c r="V29" s="1">
        <v>1</v>
      </c>
      <c r="W29" s="4">
        <f t="shared" si="0"/>
        <v>7.9383886255924185E-2</v>
      </c>
    </row>
    <row r="30" spans="1:23" x14ac:dyDescent="0.2">
      <c r="A30" s="1" t="s">
        <v>46</v>
      </c>
      <c r="B30" s="1" t="s">
        <v>18</v>
      </c>
      <c r="C30" s="1">
        <v>149.291539917976</v>
      </c>
      <c r="D30" s="5">
        <v>57.396088181750002</v>
      </c>
      <c r="E30" s="4">
        <v>11.3868590254742</v>
      </c>
      <c r="F30" s="4"/>
      <c r="G30" s="1">
        <v>50</v>
      </c>
      <c r="H30" s="1">
        <v>22</v>
      </c>
      <c r="I30" s="7">
        <v>8</v>
      </c>
      <c r="J30" s="1">
        <v>7</v>
      </c>
      <c r="K30" s="1">
        <v>4</v>
      </c>
      <c r="L30" s="4">
        <v>11.4395890410959</v>
      </c>
      <c r="M30" s="4">
        <v>0.92434988179669031</v>
      </c>
      <c r="N30" s="8">
        <v>432</v>
      </c>
      <c r="O30" s="8">
        <v>78.63</v>
      </c>
      <c r="P30" s="5">
        <v>1.85</v>
      </c>
      <c r="Q30" s="5">
        <v>0.158</v>
      </c>
      <c r="R30" s="1">
        <v>0</v>
      </c>
      <c r="S30" s="1">
        <v>50.985849999999999</v>
      </c>
      <c r="T30" s="1">
        <v>3.9089800000000001</v>
      </c>
      <c r="U30" s="1">
        <v>1</v>
      </c>
      <c r="V30" s="1">
        <v>0</v>
      </c>
      <c r="W30" s="4">
        <f t="shared" si="0"/>
        <v>7.5650118203309691E-2</v>
      </c>
    </row>
    <row r="31" spans="1:23" x14ac:dyDescent="0.2">
      <c r="A31" s="1" t="s">
        <v>47</v>
      </c>
      <c r="B31" s="1" t="s">
        <v>18</v>
      </c>
      <c r="C31" s="1">
        <v>347.093542554686</v>
      </c>
      <c r="D31" s="5">
        <v>5.6709560482499999</v>
      </c>
      <c r="E31" s="4">
        <v>21.215526690216802</v>
      </c>
      <c r="F31" s="4"/>
      <c r="G31" s="1">
        <v>50</v>
      </c>
      <c r="H31" s="1">
        <v>13</v>
      </c>
      <c r="I31" s="7">
        <v>10</v>
      </c>
      <c r="J31" s="1">
        <v>11</v>
      </c>
      <c r="K31" s="1">
        <v>6</v>
      </c>
      <c r="L31" s="4">
        <v>11.4395890410959</v>
      </c>
      <c r="M31" s="4">
        <v>0.92434988179669031</v>
      </c>
      <c r="N31" s="8">
        <v>540</v>
      </c>
      <c r="O31" s="8">
        <v>104.88</v>
      </c>
      <c r="P31" s="5">
        <v>1.3</v>
      </c>
      <c r="Q31" s="5">
        <v>7.2999999999999995E-2</v>
      </c>
      <c r="R31" s="1">
        <v>95</v>
      </c>
      <c r="S31" s="1">
        <v>50.99042</v>
      </c>
      <c r="T31" s="1">
        <v>3.8891200000000001</v>
      </c>
      <c r="U31" s="1">
        <v>0</v>
      </c>
      <c r="V31" s="1">
        <v>1</v>
      </c>
      <c r="W31" s="4">
        <f t="shared" si="0"/>
        <v>7.5650118203309691E-2</v>
      </c>
    </row>
    <row r="32" spans="1:23" x14ac:dyDescent="0.2">
      <c r="A32" s="1" t="s">
        <v>48</v>
      </c>
      <c r="B32" s="1" t="s">
        <v>49</v>
      </c>
      <c r="C32" s="1">
        <v>447.89667179200001</v>
      </c>
      <c r="D32" s="5">
        <v>7.3666666666666698</v>
      </c>
      <c r="E32" s="4">
        <v>10.224554187314199</v>
      </c>
      <c r="F32" s="4">
        <v>3952.9432554472501</v>
      </c>
      <c r="G32" s="1">
        <v>2</v>
      </c>
      <c r="H32" s="1">
        <v>13</v>
      </c>
      <c r="I32" s="7">
        <v>8</v>
      </c>
      <c r="J32" s="1">
        <v>12</v>
      </c>
      <c r="K32" s="1">
        <v>5</v>
      </c>
      <c r="L32" s="4">
        <v>10.3498356164384</v>
      </c>
      <c r="M32" s="4">
        <v>1.0471512770137525</v>
      </c>
      <c r="N32" s="8">
        <v>605.91952920000006</v>
      </c>
      <c r="O32" s="8">
        <v>137</v>
      </c>
      <c r="P32" s="5">
        <v>1.03666666666667</v>
      </c>
      <c r="Q32" s="5">
        <v>0.101666666666667</v>
      </c>
      <c r="R32" s="1">
        <v>30</v>
      </c>
      <c r="S32" s="1">
        <v>46.251539229999999</v>
      </c>
      <c r="T32" s="1">
        <v>6.3042807879999998</v>
      </c>
      <c r="U32" s="1">
        <v>0</v>
      </c>
      <c r="V32" s="1">
        <v>1</v>
      </c>
      <c r="W32" s="4">
        <f t="shared" si="0"/>
        <v>-4.7151277013752546E-2</v>
      </c>
    </row>
    <row r="33" spans="1:23" x14ac:dyDescent="0.2">
      <c r="A33" s="1" t="s">
        <v>50</v>
      </c>
      <c r="B33" s="1" t="s">
        <v>49</v>
      </c>
      <c r="C33" s="1">
        <v>381.58127100666701</v>
      </c>
      <c r="D33" s="5">
        <v>4.9566666666666697</v>
      </c>
      <c r="E33" s="4">
        <v>2.0511506511403899</v>
      </c>
      <c r="F33" s="4">
        <v>685.15860996065805</v>
      </c>
      <c r="G33" s="1">
        <v>40</v>
      </c>
      <c r="H33" s="1">
        <v>11</v>
      </c>
      <c r="I33" s="7">
        <v>6</v>
      </c>
      <c r="J33" s="1">
        <v>15</v>
      </c>
      <c r="K33" s="1">
        <v>6</v>
      </c>
      <c r="L33" s="4">
        <v>10.3498356164384</v>
      </c>
      <c r="M33" s="4">
        <v>1.0471512770137525</v>
      </c>
      <c r="N33" s="8">
        <v>491.85930710000002</v>
      </c>
      <c r="O33" s="8">
        <v>42</v>
      </c>
      <c r="P33" s="5">
        <v>0.77666666666666695</v>
      </c>
      <c r="Q33" s="5">
        <v>9.2700000000000005E-2</v>
      </c>
      <c r="R33" s="1">
        <v>10</v>
      </c>
      <c r="S33" s="1">
        <v>46.251457240000001</v>
      </c>
      <c r="T33" s="1">
        <v>6.3033815119999996</v>
      </c>
      <c r="U33" s="1">
        <v>1</v>
      </c>
      <c r="V33" s="1">
        <v>0</v>
      </c>
      <c r="W33" s="4">
        <f t="shared" si="0"/>
        <v>-4.7151277013752546E-2</v>
      </c>
    </row>
    <row r="34" spans="1:23" x14ac:dyDescent="0.2">
      <c r="A34" s="1" t="s">
        <v>51</v>
      </c>
      <c r="B34" s="1" t="s">
        <v>49</v>
      </c>
      <c r="C34" s="1">
        <v>228.86790119778601</v>
      </c>
      <c r="D34" s="5">
        <v>21.4</v>
      </c>
      <c r="E34" s="4">
        <v>205.98365487197799</v>
      </c>
      <c r="F34" s="4">
        <v>1042.05321624514</v>
      </c>
      <c r="G34" s="1">
        <v>10</v>
      </c>
      <c r="H34" s="1">
        <v>19</v>
      </c>
      <c r="I34" s="7">
        <v>7</v>
      </c>
      <c r="J34" s="1">
        <v>11</v>
      </c>
      <c r="K34" s="1">
        <v>4</v>
      </c>
      <c r="L34" s="4">
        <v>10.3498356164384</v>
      </c>
      <c r="M34" s="4">
        <v>1.0717797443461161</v>
      </c>
      <c r="N34" s="8">
        <v>4621.3538140000001</v>
      </c>
      <c r="O34" s="8">
        <v>90</v>
      </c>
      <c r="P34" s="5">
        <v>0.79066666666666696</v>
      </c>
      <c r="Q34" s="5">
        <v>7.1733333333333302E-2</v>
      </c>
      <c r="R34" s="1">
        <v>0</v>
      </c>
      <c r="S34" s="1">
        <v>46.238248310000003</v>
      </c>
      <c r="T34" s="1">
        <v>6.2934004469999998</v>
      </c>
      <c r="U34" s="1">
        <v>1</v>
      </c>
      <c r="V34" s="1">
        <v>1</v>
      </c>
      <c r="W34" s="4">
        <f t="shared" si="0"/>
        <v>-7.1779744346116114E-2</v>
      </c>
    </row>
    <row r="35" spans="1:23" x14ac:dyDescent="0.2">
      <c r="A35" s="1" t="s">
        <v>52</v>
      </c>
      <c r="B35" s="1" t="s">
        <v>49</v>
      </c>
      <c r="C35" s="1">
        <v>31.3917953561429</v>
      </c>
      <c r="D35" s="5">
        <v>15.81</v>
      </c>
      <c r="E35" s="4">
        <v>15.326800030521699</v>
      </c>
      <c r="F35" s="4">
        <v>20.896196650345399</v>
      </c>
      <c r="G35" s="1">
        <v>10</v>
      </c>
      <c r="H35" s="1">
        <v>7</v>
      </c>
      <c r="I35" s="7">
        <v>6</v>
      </c>
      <c r="J35" s="1">
        <v>2</v>
      </c>
      <c r="K35" s="1">
        <v>2</v>
      </c>
      <c r="L35" s="4">
        <v>10.628123287671199</v>
      </c>
      <c r="M35" s="4">
        <v>0.97007722007722008</v>
      </c>
      <c r="N35" s="8">
        <v>1557.4684339999999</v>
      </c>
      <c r="O35" s="8">
        <v>173</v>
      </c>
      <c r="P35" s="5">
        <v>3.0933333333333302</v>
      </c>
      <c r="Q35" s="5">
        <v>7.6733333333333306E-2</v>
      </c>
      <c r="R35" s="1">
        <v>11</v>
      </c>
      <c r="S35" s="1">
        <v>46.186730529999998</v>
      </c>
      <c r="T35" s="1">
        <v>6.0313147730000001</v>
      </c>
      <c r="U35" s="1">
        <v>1</v>
      </c>
      <c r="V35" s="1">
        <v>0</v>
      </c>
      <c r="W35" s="4">
        <f t="shared" si="0"/>
        <v>2.9922779922779918E-2</v>
      </c>
    </row>
    <row r="36" spans="1:23" x14ac:dyDescent="0.2">
      <c r="A36" s="1" t="s">
        <v>53</v>
      </c>
      <c r="B36" s="1" t="s">
        <v>49</v>
      </c>
      <c r="C36" s="1">
        <v>289.6122153005</v>
      </c>
      <c r="D36" s="5">
        <v>49.356666666666698</v>
      </c>
      <c r="E36" s="4">
        <v>53.579484286714397</v>
      </c>
      <c r="F36" s="4">
        <v>1521.69921980087</v>
      </c>
      <c r="G36" s="1">
        <v>5</v>
      </c>
      <c r="H36" s="1">
        <v>21</v>
      </c>
      <c r="I36" s="7">
        <v>7</v>
      </c>
      <c r="J36" s="1">
        <v>10</v>
      </c>
      <c r="K36" s="1">
        <v>3</v>
      </c>
      <c r="L36" s="4">
        <v>10.628123287671199</v>
      </c>
      <c r="M36" s="4">
        <v>1.0540275049115913</v>
      </c>
      <c r="N36" s="8">
        <v>4462.2343069999997</v>
      </c>
      <c r="O36" s="8">
        <v>103</v>
      </c>
      <c r="P36" s="5">
        <v>0.76666666666666705</v>
      </c>
      <c r="Q36" s="5">
        <v>7.3700000000000002E-2</v>
      </c>
      <c r="R36" s="1">
        <v>20</v>
      </c>
      <c r="S36" s="1">
        <v>46.304075339999997</v>
      </c>
      <c r="T36" s="1">
        <v>6.1247258120000003</v>
      </c>
      <c r="U36" s="1">
        <v>1</v>
      </c>
      <c r="V36" s="1">
        <v>1</v>
      </c>
      <c r="W36" s="4">
        <f t="shared" si="0"/>
        <v>-5.4027504911591251E-2</v>
      </c>
    </row>
    <row r="37" spans="1:23" x14ac:dyDescent="0.2">
      <c r="A37" s="1" t="s">
        <v>54</v>
      </c>
      <c r="B37" s="1" t="s">
        <v>49</v>
      </c>
      <c r="C37" s="1">
        <v>321.44515505275001</v>
      </c>
      <c r="D37" s="5">
        <v>18</v>
      </c>
      <c r="E37" s="4">
        <v>1933.8445567608801</v>
      </c>
      <c r="F37" s="4">
        <v>693.84410828398904</v>
      </c>
      <c r="G37" s="1">
        <v>2</v>
      </c>
      <c r="H37" s="1">
        <v>14</v>
      </c>
      <c r="I37" s="7">
        <v>4</v>
      </c>
      <c r="J37" s="1">
        <v>9</v>
      </c>
      <c r="K37" s="1">
        <v>1</v>
      </c>
      <c r="L37" s="4">
        <v>10.3498356164384</v>
      </c>
      <c r="M37" s="4">
        <v>1.0236920039486672</v>
      </c>
      <c r="N37" s="8">
        <v>1382.9126570000001</v>
      </c>
      <c r="O37" s="8">
        <v>191</v>
      </c>
      <c r="P37" s="5">
        <v>0.84</v>
      </c>
      <c r="Q37" s="5">
        <v>0.134566666666667</v>
      </c>
      <c r="R37" s="1">
        <v>15</v>
      </c>
      <c r="S37" s="1">
        <v>46.310709889999998</v>
      </c>
      <c r="T37" s="1">
        <v>6.1415307449999998</v>
      </c>
      <c r="U37" s="1">
        <v>1</v>
      </c>
      <c r="V37" s="1">
        <v>1</v>
      </c>
      <c r="W37" s="4">
        <f t="shared" si="0"/>
        <v>-2.3692003948667217E-2</v>
      </c>
    </row>
    <row r="38" spans="1:23" x14ac:dyDescent="0.2">
      <c r="A38" s="1" t="s">
        <v>55</v>
      </c>
      <c r="B38" s="1" t="s">
        <v>49</v>
      </c>
      <c r="C38" s="1">
        <v>478.12920095712502</v>
      </c>
      <c r="D38" s="5">
        <v>30.99</v>
      </c>
      <c r="E38" s="4">
        <v>1.98591480575663</v>
      </c>
      <c r="F38" s="4">
        <v>1611.9577676874001</v>
      </c>
      <c r="G38" s="1">
        <v>20</v>
      </c>
      <c r="H38" s="1">
        <v>17</v>
      </c>
      <c r="I38" s="7">
        <v>5</v>
      </c>
      <c r="J38" s="1">
        <v>15</v>
      </c>
      <c r="K38" s="1">
        <v>3</v>
      </c>
      <c r="L38" s="4">
        <v>10.3498356164384</v>
      </c>
      <c r="M38" s="4">
        <v>1.0039177277179236</v>
      </c>
      <c r="N38" s="8">
        <v>2715.6151150000001</v>
      </c>
      <c r="O38" s="8">
        <v>103</v>
      </c>
      <c r="P38" s="5">
        <v>0.77866666666666695</v>
      </c>
      <c r="Q38" s="5">
        <v>5.8099999999999999E-2</v>
      </c>
      <c r="R38" s="1">
        <v>0</v>
      </c>
      <c r="S38" s="1">
        <v>46.227316430000002</v>
      </c>
      <c r="T38" s="1">
        <v>6.2773152469999998</v>
      </c>
      <c r="U38" s="1">
        <v>1</v>
      </c>
      <c r="V38" s="1">
        <v>1</v>
      </c>
      <c r="W38" s="4">
        <f t="shared" si="0"/>
        <v>-3.9177277179236469E-3</v>
      </c>
    </row>
    <row r="39" spans="1:23" x14ac:dyDescent="0.2">
      <c r="A39" s="1" t="s">
        <v>56</v>
      </c>
      <c r="B39" s="1" t="s">
        <v>49</v>
      </c>
      <c r="C39" s="1">
        <v>105.87060024487501</v>
      </c>
      <c r="D39" s="5">
        <v>6.7233333333333301</v>
      </c>
      <c r="E39" s="4">
        <v>14.2913242570155</v>
      </c>
      <c r="F39" s="4">
        <v>331.03817936296798</v>
      </c>
      <c r="G39" s="1">
        <v>30</v>
      </c>
      <c r="H39" s="1">
        <v>25</v>
      </c>
      <c r="I39" s="7">
        <v>7</v>
      </c>
      <c r="J39" s="1">
        <v>13</v>
      </c>
      <c r="K39" s="1">
        <v>6</v>
      </c>
      <c r="L39" s="4">
        <v>10.3498356164384</v>
      </c>
      <c r="M39" s="4">
        <v>0.97828232971372164</v>
      </c>
      <c r="N39" s="8">
        <v>4791.874511</v>
      </c>
      <c r="O39" s="8">
        <v>160</v>
      </c>
      <c r="P39" s="5">
        <v>0.68666666666666698</v>
      </c>
      <c r="Q39" s="5">
        <v>5.8633333333333301E-2</v>
      </c>
      <c r="R39" s="1">
        <v>30</v>
      </c>
      <c r="S39" s="1">
        <v>46.291492089999998</v>
      </c>
      <c r="T39" s="1">
        <v>6.1367327899999999</v>
      </c>
      <c r="U39" s="1">
        <v>1</v>
      </c>
      <c r="V39" s="1">
        <v>1</v>
      </c>
      <c r="W39" s="4">
        <f t="shared" si="0"/>
        <v>2.1717670286278357E-2</v>
      </c>
    </row>
    <row r="40" spans="1:23" x14ac:dyDescent="0.2">
      <c r="A40" s="1" t="s">
        <v>57</v>
      </c>
      <c r="B40" s="1" t="s">
        <v>49</v>
      </c>
      <c r="C40" s="1">
        <v>58.418025185069403</v>
      </c>
      <c r="D40" s="5">
        <v>6.0233333333333299</v>
      </c>
      <c r="E40" s="4">
        <v>30.6508382076007</v>
      </c>
      <c r="F40" s="4">
        <v>457.852721029988</v>
      </c>
      <c r="G40" s="1">
        <v>5</v>
      </c>
      <c r="H40" s="1">
        <v>17</v>
      </c>
      <c r="I40" s="7">
        <v>8</v>
      </c>
      <c r="J40" s="1">
        <v>12</v>
      </c>
      <c r="K40" s="1">
        <v>1</v>
      </c>
      <c r="L40" s="4">
        <v>10.628123287671199</v>
      </c>
      <c r="M40" s="4">
        <v>0.97195357833655704</v>
      </c>
      <c r="N40" s="8">
        <v>8909.1600409999992</v>
      </c>
      <c r="O40" s="8">
        <v>255</v>
      </c>
      <c r="P40" s="5">
        <v>0.52</v>
      </c>
      <c r="Q40" s="5">
        <v>8.5500000000000007E-2</v>
      </c>
      <c r="R40" s="1">
        <v>20</v>
      </c>
      <c r="S40" s="1">
        <v>46.181684629999999</v>
      </c>
      <c r="T40" s="1">
        <v>6.0223282129999998</v>
      </c>
      <c r="U40" s="1">
        <v>1</v>
      </c>
      <c r="V40" s="1">
        <v>1</v>
      </c>
      <c r="W40" s="4">
        <f t="shared" si="0"/>
        <v>2.8046421663442955E-2</v>
      </c>
    </row>
    <row r="41" spans="1:23" x14ac:dyDescent="0.2">
      <c r="A41" s="1" t="s">
        <v>58</v>
      </c>
      <c r="B41" s="1" t="s">
        <v>49</v>
      </c>
      <c r="C41" s="1">
        <v>188.72154968449999</v>
      </c>
      <c r="D41" s="5">
        <v>17.433333333333302</v>
      </c>
      <c r="E41" s="4">
        <v>14.1408046019256</v>
      </c>
      <c r="F41" s="4">
        <v>1258.6635235732101</v>
      </c>
      <c r="G41" s="1">
        <v>5</v>
      </c>
      <c r="H41" s="1">
        <v>8</v>
      </c>
      <c r="I41" s="1">
        <v>5</v>
      </c>
      <c r="J41" s="1">
        <v>13</v>
      </c>
      <c r="K41" s="1">
        <v>4</v>
      </c>
      <c r="L41" s="4">
        <v>10.3498356164384</v>
      </c>
      <c r="M41" s="4">
        <v>1.0717797443461161</v>
      </c>
      <c r="N41" s="8">
        <v>33.604741300000001</v>
      </c>
      <c r="O41" s="8">
        <v>38</v>
      </c>
      <c r="P41" s="5">
        <v>0.81</v>
      </c>
      <c r="Q41" s="5">
        <v>3.2866666666666697E-2</v>
      </c>
      <c r="R41" s="1">
        <v>58</v>
      </c>
      <c r="S41" s="1">
        <v>46.239263659999999</v>
      </c>
      <c r="T41" s="1">
        <v>6.2943976360000002</v>
      </c>
      <c r="U41" s="1">
        <v>1</v>
      </c>
      <c r="V41" s="1">
        <v>0</v>
      </c>
      <c r="W41" s="4">
        <f t="shared" si="0"/>
        <v>-7.1779744346116114E-2</v>
      </c>
    </row>
    <row r="42" spans="1:23" x14ac:dyDescent="0.2">
      <c r="A42" s="1" t="s">
        <v>59</v>
      </c>
      <c r="B42" s="1" t="s">
        <v>49</v>
      </c>
      <c r="C42" s="1">
        <v>298.16211307578601</v>
      </c>
      <c r="D42" s="5">
        <v>32.11</v>
      </c>
      <c r="E42" s="4">
        <v>1811.8000165247399</v>
      </c>
      <c r="F42" s="4">
        <v>180.69172640471399</v>
      </c>
      <c r="G42" s="1">
        <v>30</v>
      </c>
      <c r="H42" s="1">
        <v>10</v>
      </c>
      <c r="I42" s="7">
        <v>7</v>
      </c>
      <c r="J42" s="1">
        <v>8</v>
      </c>
      <c r="K42" s="1">
        <v>5</v>
      </c>
      <c r="L42" s="4">
        <v>10.628123287671199</v>
      </c>
      <c r="M42" s="4">
        <v>0.98065764023210833</v>
      </c>
      <c r="N42" s="8">
        <v>988.72506769999995</v>
      </c>
      <c r="O42" s="8">
        <v>153</v>
      </c>
      <c r="P42" s="5">
        <v>2.88</v>
      </c>
      <c r="Q42" s="5">
        <v>7.7766666666666706E-2</v>
      </c>
      <c r="R42" s="1">
        <v>87</v>
      </c>
      <c r="S42" s="1">
        <v>46.146286600000003</v>
      </c>
      <c r="T42" s="1">
        <v>5.9949411609999999</v>
      </c>
      <c r="U42" s="1">
        <v>1</v>
      </c>
      <c r="V42" s="1">
        <v>1</v>
      </c>
      <c r="W42" s="4">
        <f t="shared" si="0"/>
        <v>1.934235976789167E-2</v>
      </c>
    </row>
    <row r="43" spans="1:23" x14ac:dyDescent="0.2">
      <c r="A43" s="1" t="s">
        <v>60</v>
      </c>
      <c r="B43" s="1" t="s">
        <v>49</v>
      </c>
      <c r="C43" s="1">
        <v>282.61306774625001</v>
      </c>
      <c r="D43" s="5">
        <v>6.8333333333333304</v>
      </c>
      <c r="E43" s="4">
        <v>28.034335830501199</v>
      </c>
      <c r="F43" s="4">
        <v>292.45941390721998</v>
      </c>
      <c r="G43" s="1">
        <v>35</v>
      </c>
      <c r="H43" s="1">
        <v>17</v>
      </c>
      <c r="I43" s="7">
        <v>15</v>
      </c>
      <c r="J43" s="1">
        <v>11</v>
      </c>
      <c r="K43" s="1">
        <v>2</v>
      </c>
      <c r="L43" s="4">
        <v>10.628123287671199</v>
      </c>
      <c r="M43" s="4">
        <v>0.98451113262342693</v>
      </c>
      <c r="N43" s="8">
        <v>3079.2581089999999</v>
      </c>
      <c r="O43" s="8">
        <v>226</v>
      </c>
      <c r="P43" s="5">
        <v>0.77333333333333298</v>
      </c>
      <c r="Q43" s="5">
        <v>7.4800000000000005E-2</v>
      </c>
      <c r="R43" s="1">
        <v>54</v>
      </c>
      <c r="S43" s="1">
        <v>46.156167529999998</v>
      </c>
      <c r="T43" s="1">
        <v>6.0294392920000002</v>
      </c>
      <c r="U43" s="1">
        <v>1</v>
      </c>
      <c r="V43" s="1">
        <v>1</v>
      </c>
      <c r="W43" s="4">
        <f t="shared" si="0"/>
        <v>1.5488867376573068E-2</v>
      </c>
    </row>
    <row r="44" spans="1:23" x14ac:dyDescent="0.2">
      <c r="A44" s="1" t="s">
        <v>61</v>
      </c>
      <c r="B44" s="1" t="s">
        <v>49</v>
      </c>
      <c r="C44" s="1">
        <v>205.35234300312499</v>
      </c>
      <c r="D44" s="5">
        <v>9.5333333333333297</v>
      </c>
      <c r="E44" s="4">
        <v>164.6417337</v>
      </c>
      <c r="F44" s="4">
        <v>1590.1746082391901</v>
      </c>
      <c r="G44" s="1">
        <v>40</v>
      </c>
      <c r="H44" s="1">
        <v>13</v>
      </c>
      <c r="I44" s="7">
        <v>10</v>
      </c>
      <c r="J44" s="1">
        <v>13</v>
      </c>
      <c r="K44" s="1">
        <v>8</v>
      </c>
      <c r="L44" s="4">
        <v>10.3498356164384</v>
      </c>
      <c r="M44" s="4">
        <v>1.0108481262327416</v>
      </c>
      <c r="N44" s="8">
        <v>3141.459147</v>
      </c>
      <c r="O44" s="8">
        <v>83</v>
      </c>
      <c r="P44" s="5">
        <v>0.84166666666666701</v>
      </c>
      <c r="Q44" s="5">
        <v>8.09E-2</v>
      </c>
      <c r="R44" s="1">
        <v>1</v>
      </c>
      <c r="S44" s="1">
        <v>46.234214250000001</v>
      </c>
      <c r="T44" s="1">
        <v>6.2911900559999996</v>
      </c>
      <c r="U44" s="1">
        <v>1</v>
      </c>
      <c r="V44" s="1">
        <v>0</v>
      </c>
      <c r="W44" s="4">
        <f t="shared" si="0"/>
        <v>-1.0848126232741562E-2</v>
      </c>
    </row>
    <row r="45" spans="1:23" x14ac:dyDescent="0.2">
      <c r="A45" s="1" t="s">
        <v>62</v>
      </c>
      <c r="B45" s="1" t="s">
        <v>49</v>
      </c>
      <c r="C45" s="1">
        <v>246.081365188875</v>
      </c>
      <c r="D45" s="5">
        <v>10.4233333333333</v>
      </c>
      <c r="E45" s="4">
        <v>146.47338110855799</v>
      </c>
      <c r="F45" s="4">
        <v>1740.02356957092</v>
      </c>
      <c r="G45" s="1">
        <v>85</v>
      </c>
      <c r="H45" s="1">
        <v>13</v>
      </c>
      <c r="I45" s="7">
        <v>9</v>
      </c>
      <c r="J45" s="1">
        <v>13</v>
      </c>
      <c r="K45" s="1">
        <v>5</v>
      </c>
      <c r="L45" s="4">
        <v>10.628123287671199</v>
      </c>
      <c r="M45" s="4">
        <v>1.0109670987038883</v>
      </c>
      <c r="N45" s="8">
        <v>180.2544058</v>
      </c>
      <c r="O45" s="8">
        <v>39</v>
      </c>
      <c r="P45" s="5">
        <v>0.76933333333333298</v>
      </c>
      <c r="Q45" s="5">
        <v>0.16676666666666701</v>
      </c>
      <c r="R45" s="1">
        <v>80</v>
      </c>
      <c r="S45" s="1">
        <v>46.239094100000003</v>
      </c>
      <c r="T45" s="1">
        <v>6.0682343169999999</v>
      </c>
      <c r="U45" s="1">
        <v>0</v>
      </c>
      <c r="V45" s="1">
        <v>0</v>
      </c>
      <c r="W45" s="4">
        <f t="shared" si="0"/>
        <v>-1.0967098703888345E-2</v>
      </c>
    </row>
    <row r="46" spans="1:23" x14ac:dyDescent="0.2">
      <c r="A46" s="1" t="s">
        <v>63</v>
      </c>
      <c r="B46" s="1" t="s">
        <v>49</v>
      </c>
      <c r="C46" s="1">
        <v>1208.3340788913299</v>
      </c>
      <c r="D46" s="5">
        <v>89.643333333333302</v>
      </c>
      <c r="E46" s="4">
        <v>800.47220198867001</v>
      </c>
      <c r="F46" s="4">
        <v>1600.0830614894201</v>
      </c>
      <c r="G46" s="1">
        <v>75</v>
      </c>
      <c r="H46" s="1">
        <v>13</v>
      </c>
      <c r="I46" s="7">
        <v>9</v>
      </c>
      <c r="J46" s="1">
        <v>16</v>
      </c>
      <c r="K46" s="1">
        <v>7</v>
      </c>
      <c r="L46" s="4">
        <v>10.628123287671199</v>
      </c>
      <c r="M46" s="4">
        <v>1.0049554013875124</v>
      </c>
      <c r="N46" s="8">
        <v>588.59182940000005</v>
      </c>
      <c r="O46" s="8">
        <v>105</v>
      </c>
      <c r="P46" s="5">
        <v>4.1900000000000004</v>
      </c>
      <c r="Q46" s="5">
        <v>0.15343333333333301</v>
      </c>
      <c r="R46" s="1">
        <v>56</v>
      </c>
      <c r="S46" s="1">
        <v>46.244838799999997</v>
      </c>
      <c r="T46" s="1">
        <v>6.0614833949999998</v>
      </c>
      <c r="U46" s="1">
        <v>1</v>
      </c>
      <c r="V46" s="1">
        <v>1</v>
      </c>
      <c r="W46" s="4">
        <f t="shared" si="0"/>
        <v>-4.9554013875123815E-3</v>
      </c>
    </row>
    <row r="47" spans="1:23" x14ac:dyDescent="0.2">
      <c r="A47" s="1" t="s">
        <v>64</v>
      </c>
      <c r="B47" s="1" t="s">
        <v>49</v>
      </c>
      <c r="C47" s="1">
        <v>370.31911795500002</v>
      </c>
      <c r="D47" s="5">
        <v>59.646666666666697</v>
      </c>
      <c r="E47" s="4">
        <v>9.9378709357497996</v>
      </c>
      <c r="F47" s="4">
        <v>423.88627659643402</v>
      </c>
      <c r="G47" s="1">
        <v>40</v>
      </c>
      <c r="H47" s="1">
        <v>8</v>
      </c>
      <c r="I47" s="7">
        <v>3</v>
      </c>
      <c r="J47" s="1">
        <v>15</v>
      </c>
      <c r="K47" s="1">
        <v>2</v>
      </c>
      <c r="L47" s="4">
        <v>10.3498356164384</v>
      </c>
      <c r="M47" s="4">
        <v>0.9677734375</v>
      </c>
      <c r="N47" s="8">
        <v>1204.3488729999999</v>
      </c>
      <c r="O47" s="8">
        <v>80</v>
      </c>
      <c r="P47" s="5">
        <v>1.30666666666667</v>
      </c>
      <c r="Q47" s="5">
        <v>0.207133333333333</v>
      </c>
      <c r="R47" s="1">
        <v>32</v>
      </c>
      <c r="S47" s="1">
        <v>46.229693079999997</v>
      </c>
      <c r="T47" s="1">
        <v>6.2239353460000002</v>
      </c>
      <c r="U47" s="1">
        <v>1</v>
      </c>
      <c r="V47" s="1">
        <v>0</v>
      </c>
      <c r="W47" s="4">
        <f t="shared" si="0"/>
        <v>3.22265625E-2</v>
      </c>
    </row>
    <row r="48" spans="1:23" x14ac:dyDescent="0.2">
      <c r="A48" s="1" t="s">
        <v>65</v>
      </c>
      <c r="B48" s="1" t="s">
        <v>49</v>
      </c>
      <c r="C48" s="1">
        <v>14.90008928</v>
      </c>
      <c r="D48" s="5">
        <v>6.1</v>
      </c>
      <c r="E48" s="4">
        <v>34.349615276935097</v>
      </c>
      <c r="F48" s="4">
        <v>312.04663044793102</v>
      </c>
      <c r="G48" s="1">
        <v>85</v>
      </c>
      <c r="H48" s="1">
        <v>7</v>
      </c>
      <c r="I48" s="7">
        <v>9</v>
      </c>
      <c r="J48" s="1">
        <v>6</v>
      </c>
      <c r="K48" s="1">
        <v>3</v>
      </c>
      <c r="L48" s="4">
        <v>10.3498356164384</v>
      </c>
      <c r="M48" s="4">
        <v>0.97635467980295565</v>
      </c>
      <c r="N48" s="8">
        <v>3714.4472780000001</v>
      </c>
      <c r="O48" s="8">
        <v>15</v>
      </c>
      <c r="P48" s="5">
        <v>1.46</v>
      </c>
      <c r="Q48" s="5">
        <v>0.26100000000000001</v>
      </c>
      <c r="R48" s="1">
        <v>94</v>
      </c>
      <c r="S48" s="1">
        <v>46.263655129999997</v>
      </c>
      <c r="T48" s="1">
        <v>6.2378272319999999</v>
      </c>
      <c r="U48" s="1">
        <v>1</v>
      </c>
      <c r="V48" s="1">
        <v>0</v>
      </c>
      <c r="W48" s="4">
        <f t="shared" si="0"/>
        <v>2.3645320197044351E-2</v>
      </c>
    </row>
    <row r="49" spans="1:23" x14ac:dyDescent="0.2">
      <c r="A49" s="1" t="s">
        <v>66</v>
      </c>
      <c r="B49" s="1" t="s">
        <v>49</v>
      </c>
      <c r="C49" s="1">
        <v>207.14517103955399</v>
      </c>
      <c r="D49" s="5">
        <v>43.566666666666698</v>
      </c>
      <c r="E49" s="4">
        <v>255.509671278496</v>
      </c>
      <c r="F49" s="4">
        <v>431.950055485235</v>
      </c>
      <c r="G49" s="1">
        <v>15</v>
      </c>
      <c r="H49" s="1">
        <v>21</v>
      </c>
      <c r="I49" s="7">
        <v>9</v>
      </c>
      <c r="J49" s="1">
        <v>13</v>
      </c>
      <c r="K49" s="1">
        <v>8</v>
      </c>
      <c r="L49" s="4">
        <v>10.628123287671199</v>
      </c>
      <c r="M49" s="4">
        <v>1.015015015015015</v>
      </c>
      <c r="N49" s="8">
        <v>3295.5822189999999</v>
      </c>
      <c r="O49" s="8">
        <v>83</v>
      </c>
      <c r="P49" s="5">
        <v>0.89300000000000002</v>
      </c>
      <c r="Q49" s="5">
        <v>0.1013</v>
      </c>
      <c r="R49" s="1">
        <v>12</v>
      </c>
      <c r="S49" s="1">
        <v>46.243249939999998</v>
      </c>
      <c r="T49" s="1">
        <v>6.0778249420000003</v>
      </c>
      <c r="U49" s="1">
        <v>1</v>
      </c>
      <c r="V49" s="1">
        <v>1</v>
      </c>
      <c r="W49" s="4">
        <f t="shared" si="0"/>
        <v>-1.501501501501501E-2</v>
      </c>
    </row>
    <row r="50" spans="1:23" x14ac:dyDescent="0.2">
      <c r="A50" s="1" t="s">
        <v>67</v>
      </c>
      <c r="B50" s="1" t="s">
        <v>49</v>
      </c>
      <c r="C50" s="1">
        <v>153.49971071274999</v>
      </c>
      <c r="D50" s="5">
        <v>7.4566666666666697</v>
      </c>
      <c r="E50" s="4">
        <v>155.181932991867</v>
      </c>
      <c r="F50" s="4">
        <v>917.07625186977202</v>
      </c>
      <c r="G50" s="1">
        <v>20</v>
      </c>
      <c r="H50" s="1">
        <v>14</v>
      </c>
      <c r="I50" s="7">
        <v>11</v>
      </c>
      <c r="J50" s="1">
        <v>12</v>
      </c>
      <c r="K50" s="1">
        <v>3</v>
      </c>
      <c r="L50" s="4">
        <v>10.628123287671199</v>
      </c>
      <c r="M50" s="4">
        <v>0.97195357833655704</v>
      </c>
      <c r="N50" s="8">
        <v>6787.6338569999998</v>
      </c>
      <c r="O50" s="8">
        <v>210</v>
      </c>
      <c r="P50" s="5">
        <v>0.66666666666666696</v>
      </c>
      <c r="Q50" s="5">
        <v>7.6333333333333295E-2</v>
      </c>
      <c r="R50" s="1">
        <v>23</v>
      </c>
      <c r="S50" s="1">
        <v>46.180704890000001</v>
      </c>
      <c r="T50" s="1">
        <v>6.0239614990000003</v>
      </c>
      <c r="U50" s="1">
        <v>1</v>
      </c>
      <c r="V50" s="1">
        <v>1</v>
      </c>
      <c r="W50" s="4">
        <f t="shared" si="0"/>
        <v>2.8046421663442955E-2</v>
      </c>
    </row>
    <row r="51" spans="1:23" x14ac:dyDescent="0.2">
      <c r="A51" s="1" t="s">
        <v>68</v>
      </c>
      <c r="B51" s="1" t="s">
        <v>49</v>
      </c>
      <c r="C51" s="1">
        <v>138.32167860437499</v>
      </c>
      <c r="D51" s="5">
        <v>11.1466666666667</v>
      </c>
      <c r="E51" s="4">
        <v>53.688549978401603</v>
      </c>
      <c r="F51" s="4">
        <v>611.14516772564195</v>
      </c>
      <c r="G51" s="1">
        <v>20</v>
      </c>
      <c r="H51" s="1">
        <v>6</v>
      </c>
      <c r="I51" s="7">
        <v>11</v>
      </c>
      <c r="J51" s="1">
        <v>9</v>
      </c>
      <c r="K51" s="1">
        <v>6</v>
      </c>
      <c r="L51" s="4">
        <v>10.628123287671199</v>
      </c>
      <c r="M51" s="4">
        <v>0.97383720930232553</v>
      </c>
      <c r="N51" s="8">
        <v>574.22090679999997</v>
      </c>
      <c r="O51" s="8">
        <v>199</v>
      </c>
      <c r="P51" s="5">
        <v>1.0066666666666699</v>
      </c>
      <c r="Q51" s="5">
        <v>4.67333333333333E-2</v>
      </c>
      <c r="R51" s="1">
        <v>51</v>
      </c>
      <c r="S51" s="1">
        <v>46.19811782</v>
      </c>
      <c r="T51" s="1">
        <v>6.0405373500000001</v>
      </c>
      <c r="U51" s="1">
        <v>1</v>
      </c>
      <c r="V51" s="1">
        <v>1</v>
      </c>
      <c r="W51" s="4">
        <f t="shared" si="0"/>
        <v>2.6162790697674465E-2</v>
      </c>
    </row>
    <row r="52" spans="1:23" x14ac:dyDescent="0.2">
      <c r="A52" s="1" t="s">
        <v>69</v>
      </c>
      <c r="B52" s="1" t="s">
        <v>49</v>
      </c>
      <c r="C52" s="1">
        <v>135.81636479587499</v>
      </c>
      <c r="D52" s="5">
        <v>8.93333333333333</v>
      </c>
      <c r="E52" s="4">
        <v>31.911976693189001</v>
      </c>
      <c r="F52" s="4">
        <v>2975.3349859863602</v>
      </c>
      <c r="G52" s="1">
        <v>2</v>
      </c>
      <c r="H52" s="1">
        <v>12</v>
      </c>
      <c r="I52" s="7">
        <v>8</v>
      </c>
      <c r="J52" s="1">
        <v>13</v>
      </c>
      <c r="K52" s="1">
        <v>5</v>
      </c>
      <c r="L52" s="4">
        <v>10.3498356164384</v>
      </c>
      <c r="M52" s="4">
        <v>1.0247035573122529</v>
      </c>
      <c r="N52" s="8">
        <v>1693.2811879999999</v>
      </c>
      <c r="O52" s="8">
        <v>119</v>
      </c>
      <c r="P52" s="5">
        <v>0.68833333333333302</v>
      </c>
      <c r="Q52" s="5">
        <v>3.3933333333333301E-2</v>
      </c>
      <c r="R52" s="1">
        <v>10</v>
      </c>
      <c r="S52" s="1">
        <v>46.303077029999997</v>
      </c>
      <c r="T52" s="1">
        <v>6.1381935470000002</v>
      </c>
      <c r="U52" s="1">
        <v>0</v>
      </c>
      <c r="V52" s="1">
        <v>1</v>
      </c>
      <c r="W52" s="4">
        <f t="shared" si="0"/>
        <v>-2.4703557312252933E-2</v>
      </c>
    </row>
    <row r="53" spans="1:23" x14ac:dyDescent="0.2">
      <c r="A53" s="1" t="s">
        <v>70</v>
      </c>
      <c r="B53" s="1" t="s">
        <v>49</v>
      </c>
      <c r="C53" s="1">
        <v>645.915976543125</v>
      </c>
      <c r="D53" s="5">
        <v>15.79</v>
      </c>
      <c r="E53" s="4">
        <v>4.7080088285166601</v>
      </c>
      <c r="F53" s="4">
        <v>182.09057220215999</v>
      </c>
      <c r="G53" s="1">
        <v>30</v>
      </c>
      <c r="H53" s="1">
        <v>3</v>
      </c>
      <c r="I53" s="7">
        <v>7</v>
      </c>
      <c r="J53" s="1">
        <v>8</v>
      </c>
      <c r="K53" s="1">
        <v>5</v>
      </c>
      <c r="L53" s="4">
        <v>10.3498356164384</v>
      </c>
      <c r="M53" s="4">
        <v>0.9677734375</v>
      </c>
      <c r="N53" s="8">
        <v>391.30246319999998</v>
      </c>
      <c r="O53" s="8">
        <v>59</v>
      </c>
      <c r="P53" s="5">
        <v>5.2766666666666699</v>
      </c>
      <c r="Q53" s="5">
        <v>0.13693333333333299</v>
      </c>
      <c r="R53" s="1">
        <v>55</v>
      </c>
      <c r="S53" s="1">
        <v>46.230974320000001</v>
      </c>
      <c r="T53" s="1">
        <v>6.2400004100000004</v>
      </c>
      <c r="U53" s="1">
        <v>1</v>
      </c>
      <c r="V53" s="1">
        <v>1</v>
      </c>
      <c r="W53" s="4">
        <f t="shared" si="0"/>
        <v>3.22265625E-2</v>
      </c>
    </row>
    <row r="54" spans="1:23" x14ac:dyDescent="0.2">
      <c r="A54" s="1" t="s">
        <v>71</v>
      </c>
      <c r="B54" s="1" t="s">
        <v>49</v>
      </c>
      <c r="C54" s="1">
        <v>378.2298985425</v>
      </c>
      <c r="D54" s="5">
        <v>36.4</v>
      </c>
      <c r="E54" s="4">
        <v>534.37813784075195</v>
      </c>
      <c r="F54" s="4">
        <v>510.33180707423298</v>
      </c>
      <c r="G54" s="1">
        <v>50</v>
      </c>
      <c r="H54" s="1">
        <v>10</v>
      </c>
      <c r="I54" s="7">
        <v>8</v>
      </c>
      <c r="J54" s="1">
        <v>8</v>
      </c>
      <c r="K54" s="1">
        <v>3</v>
      </c>
      <c r="L54" s="4">
        <v>10.3498356164384</v>
      </c>
      <c r="M54" s="4">
        <v>0.9677734375</v>
      </c>
      <c r="N54" s="8">
        <v>208.15935049999999</v>
      </c>
      <c r="O54" s="8">
        <v>37</v>
      </c>
      <c r="P54" s="5">
        <v>1.64333333333333</v>
      </c>
      <c r="Q54" s="5">
        <v>0.259566666666667</v>
      </c>
      <c r="R54" s="1">
        <v>40</v>
      </c>
      <c r="S54" s="1">
        <v>46.232017589999998</v>
      </c>
      <c r="T54" s="1">
        <v>6.2391674850000003</v>
      </c>
      <c r="U54" s="1">
        <v>1</v>
      </c>
      <c r="V54" s="1">
        <v>0</v>
      </c>
      <c r="W54" s="4">
        <f t="shared" si="0"/>
        <v>3.22265625E-2</v>
      </c>
    </row>
    <row r="55" spans="1:23" x14ac:dyDescent="0.2">
      <c r="A55" s="1" t="s">
        <v>72</v>
      </c>
      <c r="B55" s="1" t="s">
        <v>49</v>
      </c>
      <c r="C55" s="1">
        <v>235.80837204900001</v>
      </c>
      <c r="D55" s="5">
        <v>9</v>
      </c>
      <c r="E55" s="4">
        <v>34.905912808039098</v>
      </c>
      <c r="F55" s="4">
        <v>449.19902747966302</v>
      </c>
      <c r="G55" s="1">
        <v>35</v>
      </c>
      <c r="H55" s="1">
        <v>15</v>
      </c>
      <c r="I55" s="7">
        <v>7</v>
      </c>
      <c r="J55" s="1">
        <v>11</v>
      </c>
      <c r="K55" s="1">
        <v>3</v>
      </c>
      <c r="L55" s="4">
        <v>10.3498356164384</v>
      </c>
      <c r="M55" s="4">
        <v>0.99901864573110888</v>
      </c>
      <c r="N55" s="8">
        <v>917.34981530000005</v>
      </c>
      <c r="O55" s="8">
        <v>64</v>
      </c>
      <c r="P55" s="5">
        <v>0.67666666666666697</v>
      </c>
      <c r="Q55" s="5">
        <v>9.2366666666666694E-2</v>
      </c>
      <c r="R55" s="1">
        <v>11</v>
      </c>
      <c r="S55" s="1">
        <v>46.252693909999998</v>
      </c>
      <c r="T55" s="1">
        <v>6.2819570220000003</v>
      </c>
      <c r="U55" s="1">
        <v>1</v>
      </c>
      <c r="V55" s="1">
        <v>1</v>
      </c>
      <c r="W55" s="4">
        <f t="shared" si="0"/>
        <v>9.8135426889112143E-4</v>
      </c>
    </row>
    <row r="56" spans="1:23" x14ac:dyDescent="0.2">
      <c r="A56" s="1" t="s">
        <v>73</v>
      </c>
      <c r="B56" s="1" t="s">
        <v>49</v>
      </c>
      <c r="C56" s="1">
        <v>556.26528431871395</v>
      </c>
      <c r="D56" s="5">
        <v>13.5666666666667</v>
      </c>
      <c r="E56" s="4">
        <v>43.260548307999699</v>
      </c>
      <c r="F56" s="4">
        <v>517.81704857678994</v>
      </c>
      <c r="G56" s="1">
        <v>15</v>
      </c>
      <c r="H56" s="1">
        <v>17</v>
      </c>
      <c r="I56" s="7">
        <v>6</v>
      </c>
      <c r="J56" s="1">
        <v>11</v>
      </c>
      <c r="K56" s="7">
        <v>2</v>
      </c>
      <c r="L56" s="4">
        <v>10.3498356164384</v>
      </c>
      <c r="M56" s="4">
        <v>0.99901864573110888</v>
      </c>
      <c r="N56" s="8">
        <v>1294.5933889999999</v>
      </c>
      <c r="O56" s="8">
        <v>106</v>
      </c>
      <c r="P56" s="5">
        <v>0.69</v>
      </c>
      <c r="Q56" s="5">
        <v>9.9699999999999997E-2</v>
      </c>
      <c r="R56" s="1">
        <v>5</v>
      </c>
      <c r="S56" s="1">
        <v>46.252459190000003</v>
      </c>
      <c r="T56" s="1">
        <v>6.2814125169999997</v>
      </c>
      <c r="U56" s="1">
        <v>1</v>
      </c>
      <c r="V56" s="1">
        <v>1</v>
      </c>
      <c r="W56" s="4">
        <f t="shared" si="0"/>
        <v>9.8135426889112143E-4</v>
      </c>
    </row>
    <row r="57" spans="1:23" x14ac:dyDescent="0.2">
      <c r="A57" s="1" t="s">
        <v>74</v>
      </c>
      <c r="B57" s="1" t="s">
        <v>49</v>
      </c>
      <c r="C57" s="1">
        <v>215.432711190839</v>
      </c>
      <c r="D57" s="5">
        <v>12.0766666666667</v>
      </c>
      <c r="E57" s="4">
        <v>176.75822256233999</v>
      </c>
      <c r="F57" s="4">
        <v>156.98666827189101</v>
      </c>
      <c r="G57" s="1">
        <v>10</v>
      </c>
      <c r="H57" s="1">
        <v>18</v>
      </c>
      <c r="I57" s="7">
        <v>7</v>
      </c>
      <c r="J57" s="1">
        <v>9</v>
      </c>
      <c r="K57" s="1">
        <v>8</v>
      </c>
      <c r="L57" s="4">
        <v>10.3498356164384</v>
      </c>
      <c r="M57" s="4">
        <v>0.99901864573110888</v>
      </c>
      <c r="N57" s="8">
        <v>2317.404419</v>
      </c>
      <c r="O57" s="8">
        <v>125</v>
      </c>
      <c r="P57" s="5">
        <v>0.92</v>
      </c>
      <c r="Q57" s="5">
        <v>0.13446666666666701</v>
      </c>
      <c r="R57" s="1">
        <v>26</v>
      </c>
      <c r="S57" s="1">
        <v>46.250885969999999</v>
      </c>
      <c r="T57" s="1">
        <v>6.2773533940000004</v>
      </c>
      <c r="U57" s="1">
        <v>1</v>
      </c>
      <c r="V57" s="1">
        <v>1</v>
      </c>
      <c r="W57" s="4">
        <f t="shared" si="0"/>
        <v>9.8135426889112143E-4</v>
      </c>
    </row>
    <row r="58" spans="1:23" x14ac:dyDescent="0.2">
      <c r="A58" s="1" t="s">
        <v>75</v>
      </c>
      <c r="B58" s="1" t="s">
        <v>49</v>
      </c>
      <c r="C58" s="1">
        <v>563.85299515149995</v>
      </c>
      <c r="D58" s="5">
        <v>11.733333333333301</v>
      </c>
      <c r="E58" s="4">
        <v>670.10612608071199</v>
      </c>
      <c r="F58" s="4">
        <v>157.996738148193</v>
      </c>
      <c r="G58" s="1">
        <v>5</v>
      </c>
      <c r="H58" s="1">
        <v>16</v>
      </c>
      <c r="I58" s="7">
        <v>5</v>
      </c>
      <c r="J58" s="1">
        <v>8</v>
      </c>
      <c r="K58" s="1">
        <v>2</v>
      </c>
      <c r="L58" s="4">
        <v>10.3498356164384</v>
      </c>
      <c r="M58" s="4">
        <v>0.96494644595910417</v>
      </c>
      <c r="N58" s="8">
        <v>12163.250309999999</v>
      </c>
      <c r="O58" s="8">
        <v>184</v>
      </c>
      <c r="P58" s="5">
        <v>1.8433333333333299</v>
      </c>
      <c r="Q58" s="5">
        <v>0.16473333333333301</v>
      </c>
      <c r="R58" s="1">
        <v>90</v>
      </c>
      <c r="S58" s="1">
        <v>46.240854460000001</v>
      </c>
      <c r="T58" s="1">
        <v>6.2210530290000001</v>
      </c>
      <c r="U58" s="1">
        <v>1</v>
      </c>
      <c r="V58" s="1">
        <v>1</v>
      </c>
      <c r="W58" s="4">
        <f t="shared" si="0"/>
        <v>3.5053554040895829E-2</v>
      </c>
    </row>
    <row r="59" spans="1:23" x14ac:dyDescent="0.2">
      <c r="A59" s="1" t="s">
        <v>76</v>
      </c>
      <c r="B59" s="1" t="s">
        <v>49</v>
      </c>
      <c r="C59" s="1">
        <v>339.01769277033299</v>
      </c>
      <c r="D59" s="5">
        <v>26.59</v>
      </c>
      <c r="E59" s="4">
        <v>529.98228959762298</v>
      </c>
      <c r="F59" s="4">
        <v>591.70671205636802</v>
      </c>
      <c r="G59" s="1">
        <v>35</v>
      </c>
      <c r="H59" s="1">
        <v>18</v>
      </c>
      <c r="I59" s="7">
        <v>15</v>
      </c>
      <c r="J59" s="1">
        <v>14</v>
      </c>
      <c r="K59" s="1">
        <v>2</v>
      </c>
      <c r="L59" s="4">
        <v>10.628123287671199</v>
      </c>
      <c r="M59" s="4">
        <v>1.0540275049115913</v>
      </c>
      <c r="N59" s="8">
        <v>1909.273083</v>
      </c>
      <c r="O59" s="8">
        <v>100</v>
      </c>
      <c r="P59" s="5">
        <v>0.77666666666666695</v>
      </c>
      <c r="Q59" s="5">
        <v>9.6766666666666695E-2</v>
      </c>
      <c r="R59" s="1">
        <v>55</v>
      </c>
      <c r="S59" s="1">
        <v>46.307899399999997</v>
      </c>
      <c r="T59" s="1">
        <v>6.1199304269999999</v>
      </c>
      <c r="U59" s="1">
        <v>1</v>
      </c>
      <c r="V59" s="1">
        <v>1</v>
      </c>
      <c r="W59" s="4">
        <f t="shared" si="0"/>
        <v>-5.4027504911591251E-2</v>
      </c>
    </row>
    <row r="60" spans="1:23" x14ac:dyDescent="0.2">
      <c r="A60" s="1" t="s">
        <v>77</v>
      </c>
      <c r="B60" s="1" t="s">
        <v>49</v>
      </c>
      <c r="C60" s="1">
        <v>313.171285280375</v>
      </c>
      <c r="D60" s="5">
        <v>38.066666666666698</v>
      </c>
      <c r="E60" s="4">
        <v>76.698471200009607</v>
      </c>
      <c r="F60" s="4">
        <v>441.62494198278102</v>
      </c>
      <c r="G60" s="1">
        <v>2</v>
      </c>
      <c r="H60" s="1">
        <v>9</v>
      </c>
      <c r="I60" s="7">
        <v>9</v>
      </c>
      <c r="J60" s="1">
        <v>6</v>
      </c>
      <c r="K60" s="1">
        <v>3</v>
      </c>
      <c r="L60" s="4">
        <v>10.628123287671199</v>
      </c>
      <c r="M60" s="4">
        <v>0.95942028985507244</v>
      </c>
      <c r="N60" s="8">
        <v>598.70256710000001</v>
      </c>
      <c r="O60" s="8">
        <v>100</v>
      </c>
      <c r="P60" s="5">
        <v>4.6733333333333302</v>
      </c>
      <c r="Q60" s="5">
        <v>0.10440000000000001</v>
      </c>
      <c r="R60" s="1">
        <v>72</v>
      </c>
      <c r="S60" s="1">
        <v>46.180853839999997</v>
      </c>
      <c r="T60" s="1">
        <v>6.0496166210000002</v>
      </c>
      <c r="U60" s="1">
        <v>1</v>
      </c>
      <c r="V60" s="1">
        <v>1</v>
      </c>
      <c r="W60" s="4">
        <f t="shared" si="0"/>
        <v>4.0579710144927561E-2</v>
      </c>
    </row>
    <row r="61" spans="1:23" x14ac:dyDescent="0.2">
      <c r="A61" s="1" t="s">
        <v>78</v>
      </c>
      <c r="B61" s="1" t="s">
        <v>49</v>
      </c>
      <c r="C61" s="1">
        <v>38.532043605624999</v>
      </c>
      <c r="D61" s="5">
        <v>12.335000000000001</v>
      </c>
      <c r="E61" s="4">
        <v>10.303949480686899</v>
      </c>
      <c r="F61" s="4">
        <v>1539.26751942449</v>
      </c>
      <c r="G61" s="1">
        <v>90</v>
      </c>
      <c r="H61" s="1">
        <v>13</v>
      </c>
      <c r="I61" s="7">
        <v>6</v>
      </c>
      <c r="J61" s="1">
        <v>8</v>
      </c>
      <c r="K61" s="1">
        <v>6</v>
      </c>
      <c r="L61" s="4">
        <v>10.3498356164384</v>
      </c>
      <c r="M61" s="4">
        <v>1.0247035573122529</v>
      </c>
      <c r="N61" s="8">
        <v>684.04949829999998</v>
      </c>
      <c r="O61" s="8">
        <v>22</v>
      </c>
      <c r="P61" s="5">
        <v>1.0945</v>
      </c>
      <c r="Q61" s="5">
        <v>6.3899999999999998E-2</v>
      </c>
      <c r="R61" s="1">
        <v>20</v>
      </c>
      <c r="S61" s="1">
        <v>46.303762999999996</v>
      </c>
      <c r="T61" s="1">
        <v>6.1399203729999998</v>
      </c>
      <c r="U61" s="1">
        <v>0</v>
      </c>
      <c r="V61" s="1">
        <v>0</v>
      </c>
      <c r="W61" s="4">
        <f t="shared" si="0"/>
        <v>-2.4703557312252933E-2</v>
      </c>
    </row>
    <row r="62" spans="1:23" x14ac:dyDescent="0.2">
      <c r="A62" s="1" t="s">
        <v>79</v>
      </c>
      <c r="B62" s="1" t="s">
        <v>80</v>
      </c>
      <c r="C62" s="1">
        <v>250.95247300209999</v>
      </c>
      <c r="D62" s="5">
        <v>19.011111111000002</v>
      </c>
      <c r="E62" s="4">
        <v>613.383269212154</v>
      </c>
      <c r="F62" s="4">
        <v>1148.36090869132</v>
      </c>
      <c r="G62" s="1">
        <v>10</v>
      </c>
      <c r="H62" s="1">
        <v>19</v>
      </c>
      <c r="I62" s="7">
        <v>10</v>
      </c>
      <c r="J62" s="1">
        <v>12</v>
      </c>
      <c r="K62" s="1">
        <v>2</v>
      </c>
      <c r="L62" s="4">
        <v>10.335506849315101</v>
      </c>
      <c r="M62" s="4">
        <v>0.6376306620209059</v>
      </c>
      <c r="N62" s="8">
        <v>2901</v>
      </c>
      <c r="O62" s="8">
        <v>125</v>
      </c>
      <c r="P62" s="5">
        <v>1.36666666666667</v>
      </c>
      <c r="Q62" s="5">
        <v>0.36699999999999999</v>
      </c>
      <c r="R62" s="1">
        <v>90</v>
      </c>
      <c r="S62" s="1">
        <v>52.474144889999998</v>
      </c>
      <c r="T62" s="1">
        <v>14.11152298</v>
      </c>
      <c r="U62" s="1">
        <v>1</v>
      </c>
      <c r="V62" s="1">
        <v>1</v>
      </c>
      <c r="W62" s="4">
        <f t="shared" si="0"/>
        <v>0.3623693379790941</v>
      </c>
    </row>
    <row r="63" spans="1:23" x14ac:dyDescent="0.2">
      <c r="A63" s="1" t="s">
        <v>81</v>
      </c>
      <c r="B63" s="1" t="s">
        <v>80</v>
      </c>
      <c r="C63" s="1">
        <v>264.71785834000002</v>
      </c>
      <c r="D63" s="5">
        <v>41.016666665000002</v>
      </c>
      <c r="E63" s="4">
        <v>104.35345262214599</v>
      </c>
      <c r="F63" s="4">
        <v>634.97937078447296</v>
      </c>
      <c r="G63" s="1">
        <v>80</v>
      </c>
      <c r="H63" s="1">
        <v>17</v>
      </c>
      <c r="I63" s="7">
        <v>10</v>
      </c>
      <c r="J63" s="1">
        <v>12</v>
      </c>
      <c r="K63" s="1">
        <v>6</v>
      </c>
      <c r="L63" s="4">
        <v>10.335506849315101</v>
      </c>
      <c r="M63" s="4">
        <v>0.64135514018691586</v>
      </c>
      <c r="N63" s="8">
        <v>420</v>
      </c>
      <c r="O63" s="8">
        <v>52</v>
      </c>
      <c r="P63" s="5">
        <v>5.05</v>
      </c>
      <c r="Q63" s="5">
        <v>1.7204999999999999</v>
      </c>
      <c r="R63" s="1">
        <v>95</v>
      </c>
      <c r="S63" s="1">
        <v>52.47014609</v>
      </c>
      <c r="T63" s="1">
        <v>14.12125223</v>
      </c>
      <c r="U63" s="1">
        <v>1</v>
      </c>
      <c r="V63" s="1">
        <v>0</v>
      </c>
      <c r="W63" s="4">
        <f t="shared" si="0"/>
        <v>0.35864485981308414</v>
      </c>
    </row>
    <row r="64" spans="1:23" x14ac:dyDescent="0.2">
      <c r="A64" s="1" t="s">
        <v>82</v>
      </c>
      <c r="B64" s="1" t="s">
        <v>80</v>
      </c>
      <c r="D64" s="5">
        <v>468.96666664999998</v>
      </c>
      <c r="E64" s="4"/>
      <c r="F64" s="4">
        <v>266.43438091570101</v>
      </c>
      <c r="G64" s="1">
        <v>20</v>
      </c>
      <c r="H64" s="1">
        <v>15</v>
      </c>
      <c r="I64" s="1">
        <v>1</v>
      </c>
      <c r="J64" s="1">
        <v>6</v>
      </c>
      <c r="K64" s="1">
        <v>1</v>
      </c>
      <c r="L64" s="4">
        <v>10.411767123287699</v>
      </c>
      <c r="M64" s="4">
        <v>0.63551401869158874</v>
      </c>
      <c r="N64" s="8">
        <v>3030</v>
      </c>
      <c r="O64" s="8">
        <v>41</v>
      </c>
      <c r="P64" s="5">
        <v>5.4</v>
      </c>
      <c r="Q64" s="5">
        <v>0.88800000000000001</v>
      </c>
      <c r="R64" s="1">
        <v>99</v>
      </c>
      <c r="S64" s="1">
        <v>52.47297915</v>
      </c>
      <c r="T64" s="1">
        <v>14.125854439999999</v>
      </c>
      <c r="U64" s="1">
        <v>0</v>
      </c>
      <c r="V64" s="1">
        <v>0</v>
      </c>
      <c r="W64" s="4">
        <f t="shared" si="0"/>
        <v>0.36448598130841126</v>
      </c>
    </row>
    <row r="65" spans="1:23" x14ac:dyDescent="0.2">
      <c r="A65" s="1" t="s">
        <v>83</v>
      </c>
      <c r="B65" s="1" t="s">
        <v>80</v>
      </c>
      <c r="C65" s="1">
        <v>601.50328178642803</v>
      </c>
      <c r="D65" s="5">
        <v>191.31666666500001</v>
      </c>
      <c r="E65" s="4">
        <v>288.94276473712699</v>
      </c>
      <c r="F65" s="4">
        <v>7107.2462511533904</v>
      </c>
      <c r="G65" s="1">
        <v>30</v>
      </c>
      <c r="H65" s="1">
        <v>13</v>
      </c>
      <c r="I65" s="7">
        <v>11</v>
      </c>
      <c r="J65" s="1">
        <v>6</v>
      </c>
      <c r="K65" s="1">
        <v>3</v>
      </c>
      <c r="L65" s="4">
        <v>10.411767123287699</v>
      </c>
      <c r="M65" s="4">
        <v>0.63551401869158874</v>
      </c>
      <c r="N65" s="8">
        <v>598</v>
      </c>
      <c r="O65" s="8">
        <v>38</v>
      </c>
      <c r="P65" s="5">
        <v>8.8000000000000007</v>
      </c>
      <c r="Q65" s="5">
        <v>2.3130000000000002</v>
      </c>
      <c r="R65" s="1">
        <v>100</v>
      </c>
      <c r="S65" s="1">
        <v>52.473960409999997</v>
      </c>
      <c r="T65" s="1">
        <v>14.13163389</v>
      </c>
      <c r="U65" s="1">
        <v>0</v>
      </c>
      <c r="V65" s="1">
        <v>0</v>
      </c>
      <c r="W65" s="4">
        <f t="shared" si="0"/>
        <v>0.36448598130841126</v>
      </c>
    </row>
    <row r="66" spans="1:23" x14ac:dyDescent="0.2">
      <c r="A66" s="1" t="s">
        <v>84</v>
      </c>
      <c r="B66" s="1" t="s">
        <v>80</v>
      </c>
      <c r="D66" s="5">
        <v>31.533333330000001</v>
      </c>
      <c r="E66" s="4">
        <v>115.220812679932</v>
      </c>
      <c r="F66" s="4">
        <v>1200.7823909582301</v>
      </c>
      <c r="G66" s="1">
        <v>80</v>
      </c>
      <c r="H66" s="1">
        <v>15</v>
      </c>
      <c r="I66" s="7">
        <v>8</v>
      </c>
      <c r="J66" s="1">
        <v>12</v>
      </c>
      <c r="K66" s="1">
        <v>2</v>
      </c>
      <c r="L66" s="4">
        <v>10.411767123287699</v>
      </c>
      <c r="M66" s="4">
        <v>0.63551401869158874</v>
      </c>
      <c r="N66" s="8">
        <v>146</v>
      </c>
      <c r="O66" s="8">
        <v>19</v>
      </c>
      <c r="P66" s="5">
        <v>5.0999999999999996</v>
      </c>
      <c r="Q66" s="5">
        <v>1.607</v>
      </c>
      <c r="R66" s="1">
        <v>100</v>
      </c>
      <c r="S66" s="1">
        <v>52.472664780000002</v>
      </c>
      <c r="T66" s="1">
        <v>14.135231470000001</v>
      </c>
      <c r="U66" s="1">
        <v>0</v>
      </c>
      <c r="V66" s="1">
        <v>0</v>
      </c>
      <c r="W66" s="4">
        <f t="shared" ref="W66:W129" si="1">1-M66</f>
        <v>0.36448598130841126</v>
      </c>
    </row>
    <row r="67" spans="1:23" x14ac:dyDescent="0.2">
      <c r="A67" s="1" t="s">
        <v>85</v>
      </c>
      <c r="B67" s="1" t="s">
        <v>80</v>
      </c>
      <c r="C67" s="1">
        <v>59.223498470714297</v>
      </c>
      <c r="D67" s="5">
        <v>14.233333334999999</v>
      </c>
      <c r="E67" s="4">
        <v>678.895492946025</v>
      </c>
      <c r="F67" s="4">
        <v>1512.70997655462</v>
      </c>
      <c r="G67" s="1">
        <v>70</v>
      </c>
      <c r="H67" s="1">
        <v>14</v>
      </c>
      <c r="I67" s="7">
        <v>9</v>
      </c>
      <c r="J67" s="1">
        <v>8</v>
      </c>
      <c r="K67" s="1">
        <v>3</v>
      </c>
      <c r="L67" s="4">
        <v>10.3111506849315</v>
      </c>
      <c r="M67" s="4">
        <v>0.65822784810126578</v>
      </c>
      <c r="N67" s="8">
        <v>1089</v>
      </c>
      <c r="O67" s="8">
        <v>108</v>
      </c>
      <c r="P67" s="5">
        <v>1.3</v>
      </c>
      <c r="Q67" s="5">
        <v>9.0499999999999997E-2</v>
      </c>
      <c r="R67" s="1">
        <v>55</v>
      </c>
      <c r="S67" s="1">
        <v>52.480744999999999</v>
      </c>
      <c r="T67" s="1">
        <v>13.699017</v>
      </c>
      <c r="U67" s="1">
        <v>1</v>
      </c>
      <c r="V67" s="1">
        <v>0</v>
      </c>
      <c r="W67" s="4">
        <f t="shared" si="1"/>
        <v>0.34177215189873422</v>
      </c>
    </row>
    <row r="68" spans="1:23" x14ac:dyDescent="0.2">
      <c r="A68" s="1" t="s">
        <v>86</v>
      </c>
      <c r="B68" s="1" t="s">
        <v>80</v>
      </c>
      <c r="C68" s="1">
        <v>138.5766477965</v>
      </c>
      <c r="D68" s="5">
        <v>367.61666666500003</v>
      </c>
      <c r="E68" s="4">
        <v>105.531420404225</v>
      </c>
      <c r="F68" s="4">
        <v>1351.1532797294101</v>
      </c>
      <c r="G68" s="1">
        <v>20</v>
      </c>
      <c r="H68" s="1">
        <v>18</v>
      </c>
      <c r="I68" s="7">
        <v>8</v>
      </c>
      <c r="J68" s="1">
        <v>9</v>
      </c>
      <c r="K68" s="1">
        <v>3</v>
      </c>
      <c r="L68" s="4">
        <v>10.411767123287699</v>
      </c>
      <c r="M68" s="4">
        <v>0.58644859813084116</v>
      </c>
      <c r="N68" s="8">
        <v>2169</v>
      </c>
      <c r="O68" s="8">
        <v>24</v>
      </c>
      <c r="P68" s="5">
        <v>3.2</v>
      </c>
      <c r="Q68" s="5">
        <v>0.32200000000000001</v>
      </c>
      <c r="R68" s="1">
        <v>65</v>
      </c>
      <c r="S68" s="1">
        <v>52.460271300000002</v>
      </c>
      <c r="T68" s="1">
        <v>14.37097928</v>
      </c>
      <c r="U68" s="1">
        <v>1</v>
      </c>
      <c r="V68" s="1">
        <v>0</v>
      </c>
      <c r="W68" s="4">
        <f t="shared" si="1"/>
        <v>0.41355140186915884</v>
      </c>
    </row>
    <row r="69" spans="1:23" x14ac:dyDescent="0.2">
      <c r="A69" s="1" t="s">
        <v>87</v>
      </c>
      <c r="B69" s="1" t="s">
        <v>80</v>
      </c>
      <c r="C69" s="1">
        <v>89.393060535000004</v>
      </c>
      <c r="D69" s="5">
        <v>88.686666665000004</v>
      </c>
      <c r="E69" s="4">
        <v>8.4621504727691299</v>
      </c>
      <c r="F69" s="4">
        <v>1916.2713143194201</v>
      </c>
      <c r="G69" s="1">
        <v>30</v>
      </c>
      <c r="H69" s="1">
        <v>12</v>
      </c>
      <c r="I69" s="7">
        <v>7</v>
      </c>
      <c r="J69" s="1">
        <v>5</v>
      </c>
      <c r="K69" s="1">
        <v>1</v>
      </c>
      <c r="L69" s="4">
        <v>10.411767123287699</v>
      </c>
      <c r="M69" s="4">
        <v>0.58576429404900821</v>
      </c>
      <c r="N69" s="8">
        <v>1233</v>
      </c>
      <c r="O69" s="8">
        <v>25</v>
      </c>
      <c r="P69" s="5">
        <v>3.25</v>
      </c>
      <c r="Q69" s="5">
        <v>0.98499999999999999</v>
      </c>
      <c r="R69" s="1">
        <v>80</v>
      </c>
      <c r="S69" s="1">
        <v>52.459249999999997</v>
      </c>
      <c r="T69" s="1">
        <v>14.357068</v>
      </c>
      <c r="U69" s="1">
        <v>1</v>
      </c>
      <c r="V69" s="1">
        <v>0</v>
      </c>
      <c r="W69" s="4">
        <f t="shared" si="1"/>
        <v>0.41423570595099179</v>
      </c>
    </row>
    <row r="70" spans="1:23" x14ac:dyDescent="0.2">
      <c r="A70" s="1" t="s">
        <v>88</v>
      </c>
      <c r="B70" s="1" t="s">
        <v>80</v>
      </c>
      <c r="C70" s="1">
        <v>120.97463065125</v>
      </c>
      <c r="D70" s="5">
        <v>39.450000000000003</v>
      </c>
      <c r="E70" s="4">
        <v>1071.1794114424099</v>
      </c>
      <c r="F70" s="4">
        <v>3639.0142461289402</v>
      </c>
      <c r="G70" s="1">
        <v>40</v>
      </c>
      <c r="H70" s="1">
        <v>11</v>
      </c>
      <c r="I70" s="7">
        <v>6</v>
      </c>
      <c r="J70" s="1">
        <v>13</v>
      </c>
      <c r="K70" s="1">
        <v>3</v>
      </c>
      <c r="L70" s="4">
        <v>10.411767123287699</v>
      </c>
      <c r="M70" s="4">
        <v>0.58576429404900821</v>
      </c>
      <c r="N70" s="8">
        <v>453</v>
      </c>
      <c r="O70" s="8">
        <v>75</v>
      </c>
      <c r="P70" s="5">
        <v>2.4500000000000002</v>
      </c>
      <c r="Q70" s="5">
        <v>0.34599999999999997</v>
      </c>
      <c r="R70" s="1">
        <v>75</v>
      </c>
      <c r="S70" s="1">
        <v>52.459137079999998</v>
      </c>
      <c r="T70" s="1">
        <v>14.352761210000001</v>
      </c>
      <c r="U70" s="1">
        <v>1</v>
      </c>
      <c r="V70" s="1">
        <v>0</v>
      </c>
      <c r="W70" s="4">
        <f t="shared" si="1"/>
        <v>0.41423570595099179</v>
      </c>
    </row>
    <row r="71" spans="1:23" x14ac:dyDescent="0.2">
      <c r="A71" s="1" t="s">
        <v>89</v>
      </c>
      <c r="B71" s="1" t="s">
        <v>80</v>
      </c>
      <c r="C71" s="1">
        <v>337.81957472250002</v>
      </c>
      <c r="D71" s="5">
        <v>15.65</v>
      </c>
      <c r="E71" s="4">
        <v>18.859109482121202</v>
      </c>
      <c r="F71" s="4">
        <v>1814.9593573485199</v>
      </c>
      <c r="G71" s="1">
        <v>10</v>
      </c>
      <c r="H71" s="1">
        <v>12</v>
      </c>
      <c r="I71" s="7">
        <v>4</v>
      </c>
      <c r="J71" s="1">
        <v>12</v>
      </c>
      <c r="K71" s="1">
        <v>2</v>
      </c>
      <c r="L71" s="4">
        <v>10.411767123287699</v>
      </c>
      <c r="M71" s="4">
        <v>0.58576429404900821</v>
      </c>
      <c r="N71" s="8">
        <v>3014</v>
      </c>
      <c r="O71" s="8">
        <v>59</v>
      </c>
      <c r="P71" s="5">
        <v>4.05</v>
      </c>
      <c r="Q71" s="5">
        <v>0.36399999999999999</v>
      </c>
      <c r="R71" s="1">
        <v>80</v>
      </c>
      <c r="S71" s="1">
        <v>52.460077630000001</v>
      </c>
      <c r="T71" s="1">
        <v>14.352678129999999</v>
      </c>
      <c r="U71" s="1">
        <v>1</v>
      </c>
      <c r="V71" s="1">
        <v>0</v>
      </c>
      <c r="W71" s="4">
        <f t="shared" si="1"/>
        <v>0.41423570595099179</v>
      </c>
    </row>
    <row r="72" spans="1:23" x14ac:dyDescent="0.2">
      <c r="A72" s="1" t="s">
        <v>90</v>
      </c>
      <c r="B72" s="1" t="s">
        <v>80</v>
      </c>
      <c r="C72" s="1">
        <v>180.61420011249999</v>
      </c>
      <c r="D72" s="5">
        <v>80.533333333333303</v>
      </c>
      <c r="E72" s="4">
        <v>254.46502564513199</v>
      </c>
      <c r="F72" s="4">
        <v>5272.3396798138601</v>
      </c>
      <c r="G72" s="1">
        <v>30</v>
      </c>
      <c r="H72" s="1">
        <v>16</v>
      </c>
      <c r="I72" s="7">
        <v>6</v>
      </c>
      <c r="J72" s="1">
        <v>13</v>
      </c>
      <c r="K72" s="1">
        <v>2</v>
      </c>
      <c r="L72" s="4">
        <v>9.6214794520547908</v>
      </c>
      <c r="M72" s="4">
        <v>0.66332916145181475</v>
      </c>
      <c r="N72" s="8">
        <v>499</v>
      </c>
      <c r="O72" s="8">
        <v>67</v>
      </c>
      <c r="P72" s="5">
        <v>2.7666666666666702</v>
      </c>
      <c r="Q72" s="5">
        <v>0.19600000000000001</v>
      </c>
      <c r="R72" s="1">
        <v>93</v>
      </c>
      <c r="S72" s="1">
        <v>53.37950489</v>
      </c>
      <c r="T72" s="1">
        <v>13.663290010000001</v>
      </c>
      <c r="U72" s="1">
        <v>1</v>
      </c>
      <c r="V72" s="1">
        <v>1</v>
      </c>
      <c r="W72" s="4">
        <f t="shared" si="1"/>
        <v>0.33667083854818525</v>
      </c>
    </row>
    <row r="73" spans="1:23" x14ac:dyDescent="0.2">
      <c r="A73" s="1" t="s">
        <v>91</v>
      </c>
      <c r="B73" s="1" t="s">
        <v>80</v>
      </c>
      <c r="C73" s="1">
        <v>20.520213898166698</v>
      </c>
      <c r="D73" s="5">
        <v>365.73333335000001</v>
      </c>
      <c r="E73" s="4">
        <v>2.99651109794749</v>
      </c>
      <c r="F73" s="4">
        <v>186.603978594734</v>
      </c>
      <c r="G73" s="1">
        <v>15</v>
      </c>
      <c r="H73" s="1">
        <v>15</v>
      </c>
      <c r="I73" s="7">
        <v>3</v>
      </c>
      <c r="J73" s="1">
        <v>5</v>
      </c>
      <c r="K73" s="1">
        <v>0</v>
      </c>
      <c r="L73" s="4">
        <v>9.6424931506849294</v>
      </c>
      <c r="M73" s="4">
        <v>0.68216080402010049</v>
      </c>
      <c r="N73" s="8">
        <v>187</v>
      </c>
      <c r="O73" s="8">
        <v>38</v>
      </c>
      <c r="P73" s="5">
        <v>8.8000000000000007</v>
      </c>
      <c r="Q73" s="5">
        <v>1.8005</v>
      </c>
      <c r="R73" s="1">
        <v>95</v>
      </c>
      <c r="S73" s="1">
        <v>53.324258309999998</v>
      </c>
      <c r="T73" s="1">
        <v>13.62306192</v>
      </c>
      <c r="U73" s="1">
        <v>0</v>
      </c>
      <c r="V73" s="1">
        <v>0</v>
      </c>
      <c r="W73" s="4">
        <f t="shared" si="1"/>
        <v>0.31783919597989951</v>
      </c>
    </row>
    <row r="74" spans="1:23" x14ac:dyDescent="0.2">
      <c r="A74" s="1" t="s">
        <v>92</v>
      </c>
      <c r="B74" s="1" t="s">
        <v>80</v>
      </c>
      <c r="C74" s="1">
        <v>861.67354087750005</v>
      </c>
      <c r="D74" s="5">
        <v>62.511111110000002</v>
      </c>
      <c r="E74" s="4">
        <v>40.824140111108697</v>
      </c>
      <c r="F74" s="4">
        <v>2710.7352391394002</v>
      </c>
      <c r="G74" s="1">
        <v>80</v>
      </c>
      <c r="H74" s="1">
        <v>14</v>
      </c>
      <c r="I74" s="7">
        <v>9</v>
      </c>
      <c r="J74" s="1">
        <v>10</v>
      </c>
      <c r="K74" s="1">
        <v>0</v>
      </c>
      <c r="L74" s="4">
        <v>9.6926575342465693</v>
      </c>
      <c r="M74" s="4">
        <v>0.67964824120603018</v>
      </c>
      <c r="N74" s="8">
        <v>2109</v>
      </c>
      <c r="O74" s="8">
        <v>52</v>
      </c>
      <c r="P74" s="5">
        <v>2.8666666666666698</v>
      </c>
      <c r="Q74" s="5">
        <v>0.957666666666667</v>
      </c>
      <c r="R74" s="1">
        <v>97</v>
      </c>
      <c r="S74" s="1">
        <v>53.322407069999997</v>
      </c>
      <c r="T74" s="1">
        <v>13.62802853</v>
      </c>
      <c r="U74" s="1">
        <v>0</v>
      </c>
      <c r="V74" s="1">
        <v>0</v>
      </c>
      <c r="W74" s="4">
        <f t="shared" si="1"/>
        <v>0.32035175879396982</v>
      </c>
    </row>
    <row r="75" spans="1:23" x14ac:dyDescent="0.2">
      <c r="A75" s="1" t="s">
        <v>93</v>
      </c>
      <c r="B75" s="1" t="s">
        <v>80</v>
      </c>
      <c r="C75" s="1">
        <v>339.61842464766698</v>
      </c>
      <c r="D75" s="5">
        <v>90.244444443333293</v>
      </c>
      <c r="E75" s="4">
        <v>12.3303298900729</v>
      </c>
      <c r="F75" s="4">
        <v>284.10148996789502</v>
      </c>
      <c r="G75" s="1">
        <v>1</v>
      </c>
      <c r="H75" s="1">
        <v>7</v>
      </c>
      <c r="I75" s="7">
        <v>3</v>
      </c>
      <c r="J75" s="1">
        <v>7</v>
      </c>
      <c r="K75" s="1">
        <v>5</v>
      </c>
      <c r="L75" s="4">
        <v>9.6424931506849294</v>
      </c>
      <c r="M75" s="4">
        <v>0.68216080402010049</v>
      </c>
      <c r="N75" s="8">
        <v>128</v>
      </c>
      <c r="O75" s="8">
        <v>76</v>
      </c>
      <c r="P75" s="5">
        <v>5.9666666666666703</v>
      </c>
      <c r="Q75" s="5">
        <v>1.4913333333333301</v>
      </c>
      <c r="R75" s="1">
        <v>100</v>
      </c>
      <c r="S75" s="1">
        <v>53.322369999999999</v>
      </c>
      <c r="T75" s="1">
        <v>13.623226000000001</v>
      </c>
      <c r="U75" s="1">
        <v>0</v>
      </c>
      <c r="V75" s="1">
        <v>0</v>
      </c>
      <c r="W75" s="4">
        <f t="shared" si="1"/>
        <v>0.31783919597989951</v>
      </c>
    </row>
    <row r="76" spans="1:23" x14ac:dyDescent="0.2">
      <c r="A76" s="1" t="s">
        <v>94</v>
      </c>
      <c r="B76" s="1" t="s">
        <v>80</v>
      </c>
      <c r="C76" s="1">
        <v>1253.80045654833</v>
      </c>
      <c r="D76" s="5">
        <v>225.52222222333299</v>
      </c>
      <c r="E76" s="4">
        <v>223.67845500031299</v>
      </c>
      <c r="F76" s="4">
        <v>1345.81431464875</v>
      </c>
      <c r="G76" s="1">
        <v>15</v>
      </c>
      <c r="H76" s="1">
        <v>6</v>
      </c>
      <c r="I76" s="7">
        <v>4</v>
      </c>
      <c r="J76" s="1">
        <v>13</v>
      </c>
      <c r="K76" s="1">
        <v>2</v>
      </c>
      <c r="L76" s="4">
        <v>9.6424931506849294</v>
      </c>
      <c r="M76" s="4">
        <v>0.68664169787765295</v>
      </c>
      <c r="N76" s="8">
        <v>390</v>
      </c>
      <c r="O76" s="8">
        <v>117</v>
      </c>
      <c r="P76" s="5">
        <v>3.1</v>
      </c>
      <c r="Q76" s="5">
        <v>1.01366666666667</v>
      </c>
      <c r="R76" s="1">
        <v>75</v>
      </c>
      <c r="S76" s="1">
        <v>53.316787470000001</v>
      </c>
      <c r="T76" s="1">
        <v>13.531738239999999</v>
      </c>
      <c r="U76" s="1">
        <v>0</v>
      </c>
      <c r="V76" s="1">
        <v>1</v>
      </c>
      <c r="W76" s="4">
        <f t="shared" si="1"/>
        <v>0.31335830212234705</v>
      </c>
    </row>
    <row r="77" spans="1:23" x14ac:dyDescent="0.2">
      <c r="A77" s="1" t="s">
        <v>95</v>
      </c>
      <c r="B77" s="1" t="s">
        <v>80</v>
      </c>
      <c r="C77" s="1">
        <v>804.12328436999996</v>
      </c>
      <c r="D77" s="5">
        <v>133.91111111000001</v>
      </c>
      <c r="E77" s="4">
        <v>5399.3645953472096</v>
      </c>
      <c r="F77" s="4">
        <v>6783.5330475629098</v>
      </c>
      <c r="G77" s="1">
        <v>15</v>
      </c>
      <c r="H77" s="1">
        <v>9</v>
      </c>
      <c r="I77" s="7">
        <v>10</v>
      </c>
      <c r="J77" s="1">
        <v>11</v>
      </c>
      <c r="K77" s="1">
        <v>3</v>
      </c>
      <c r="L77" s="4">
        <v>9.6424931506849294</v>
      </c>
      <c r="M77" s="4">
        <v>0.68079800498753118</v>
      </c>
      <c r="N77" s="8">
        <v>63</v>
      </c>
      <c r="O77" s="8">
        <v>44</v>
      </c>
      <c r="P77" s="5">
        <v>2.2666666666666702</v>
      </c>
      <c r="Q77" s="5">
        <v>0.63266666666666704</v>
      </c>
      <c r="R77" s="1">
        <v>100</v>
      </c>
      <c r="S77" s="1">
        <v>53.306581799999996</v>
      </c>
      <c r="T77" s="1">
        <v>13.566731499999999</v>
      </c>
      <c r="U77" s="1">
        <v>0</v>
      </c>
      <c r="V77" s="1">
        <v>0</v>
      </c>
      <c r="W77" s="4">
        <f t="shared" si="1"/>
        <v>0.31920199501246882</v>
      </c>
    </row>
    <row r="78" spans="1:23" x14ac:dyDescent="0.2">
      <c r="A78" s="1" t="s">
        <v>96</v>
      </c>
      <c r="B78" s="1" t="s">
        <v>80</v>
      </c>
      <c r="C78" s="1">
        <v>302.64600282775001</v>
      </c>
      <c r="D78" s="5">
        <v>69.444444443333296</v>
      </c>
      <c r="E78" s="4">
        <v>862.18823188352405</v>
      </c>
      <c r="F78" s="4">
        <v>73.857342561989299</v>
      </c>
      <c r="G78" s="1">
        <v>5</v>
      </c>
      <c r="H78" s="1">
        <v>7</v>
      </c>
      <c r="I78" s="7">
        <v>6</v>
      </c>
      <c r="J78" s="1">
        <v>9</v>
      </c>
      <c r="K78" s="7">
        <v>7</v>
      </c>
      <c r="L78" s="4">
        <v>9.6424931506849294</v>
      </c>
      <c r="M78" s="4">
        <v>0.68164794007490637</v>
      </c>
      <c r="N78" s="8">
        <v>1260</v>
      </c>
      <c r="O78" s="8">
        <v>250</v>
      </c>
      <c r="P78" s="5">
        <v>1.7</v>
      </c>
      <c r="Q78" s="5">
        <v>0.371</v>
      </c>
      <c r="R78" s="1">
        <v>95</v>
      </c>
      <c r="S78" s="1">
        <v>53.299571229999998</v>
      </c>
      <c r="T78" s="1">
        <v>13.55407795</v>
      </c>
      <c r="U78" s="1">
        <v>1</v>
      </c>
      <c r="V78" s="1">
        <v>1</v>
      </c>
      <c r="W78" s="4">
        <f t="shared" si="1"/>
        <v>0.31835205992509363</v>
      </c>
    </row>
    <row r="79" spans="1:23" x14ac:dyDescent="0.2">
      <c r="A79" s="1" t="s">
        <v>97</v>
      </c>
      <c r="B79" s="1" t="s">
        <v>80</v>
      </c>
      <c r="C79" s="1">
        <v>683.47738657785703</v>
      </c>
      <c r="D79" s="5">
        <v>75.888888899999998</v>
      </c>
      <c r="E79" s="4">
        <v>3095.7914053753698</v>
      </c>
      <c r="F79" s="4">
        <v>799.83737471508505</v>
      </c>
      <c r="G79" s="1">
        <v>5</v>
      </c>
      <c r="H79" s="1">
        <v>15</v>
      </c>
      <c r="I79" s="7">
        <v>4</v>
      </c>
      <c r="J79" s="1">
        <v>12</v>
      </c>
      <c r="K79" s="1">
        <v>1</v>
      </c>
      <c r="L79" s="4">
        <v>9.6424931506849294</v>
      </c>
      <c r="M79" s="4">
        <v>0.68164794007490637</v>
      </c>
      <c r="N79" s="8">
        <v>731</v>
      </c>
      <c r="O79" s="8">
        <v>91</v>
      </c>
      <c r="P79" s="5">
        <v>3.6333333333333302</v>
      </c>
      <c r="Q79" s="5">
        <v>1.75566666666667</v>
      </c>
      <c r="R79" s="1">
        <v>95</v>
      </c>
      <c r="S79" s="1">
        <v>53.299856699999999</v>
      </c>
      <c r="T79" s="1">
        <v>13.55228191</v>
      </c>
      <c r="U79" s="1">
        <v>1</v>
      </c>
      <c r="V79" s="1">
        <v>1</v>
      </c>
      <c r="W79" s="4">
        <f t="shared" si="1"/>
        <v>0.31835205992509363</v>
      </c>
    </row>
    <row r="80" spans="1:23" x14ac:dyDescent="0.2">
      <c r="A80" s="1" t="s">
        <v>98</v>
      </c>
      <c r="B80" s="1" t="s">
        <v>80</v>
      </c>
      <c r="C80" s="1">
        <v>364.42725722753602</v>
      </c>
      <c r="D80" s="5">
        <v>162</v>
      </c>
      <c r="E80" s="4">
        <v>132.13274502846599</v>
      </c>
      <c r="F80" s="4">
        <v>72.6379162281536</v>
      </c>
      <c r="G80" s="1">
        <v>1</v>
      </c>
      <c r="H80" s="1">
        <v>22</v>
      </c>
      <c r="I80" s="7">
        <v>7</v>
      </c>
      <c r="J80" s="1">
        <v>8</v>
      </c>
      <c r="K80" s="1">
        <v>0</v>
      </c>
      <c r="L80" s="4">
        <v>10.3111506849315</v>
      </c>
      <c r="M80" s="4">
        <v>0.65371428571428569</v>
      </c>
      <c r="N80" s="8">
        <v>4059</v>
      </c>
      <c r="O80" s="8">
        <v>92</v>
      </c>
      <c r="P80" s="5">
        <v>1.86666666666667</v>
      </c>
      <c r="Q80" s="5">
        <v>0.22466666666666699</v>
      </c>
      <c r="R80" s="1">
        <v>30</v>
      </c>
      <c r="S80" s="1">
        <v>52.482447999999998</v>
      </c>
      <c r="T80" s="1">
        <v>13.688966000000001</v>
      </c>
      <c r="U80" s="1">
        <v>1</v>
      </c>
      <c r="V80" s="1">
        <v>1</v>
      </c>
      <c r="W80" s="4">
        <f t="shared" si="1"/>
        <v>0.34628571428571431</v>
      </c>
    </row>
    <row r="81" spans="1:23" x14ac:dyDescent="0.2">
      <c r="A81" s="1" t="s">
        <v>99</v>
      </c>
      <c r="B81" s="1" t="s">
        <v>80</v>
      </c>
      <c r="D81" s="5">
        <v>13.233333330000001</v>
      </c>
      <c r="E81" s="4">
        <v>1201.06603505929</v>
      </c>
      <c r="F81" s="4">
        <v>280.785527783421</v>
      </c>
      <c r="G81" s="1">
        <v>85</v>
      </c>
      <c r="H81" s="1">
        <v>5</v>
      </c>
      <c r="I81" s="7">
        <v>5</v>
      </c>
      <c r="J81" s="1">
        <v>6</v>
      </c>
      <c r="K81" s="1">
        <v>3</v>
      </c>
      <c r="L81" s="4">
        <v>10.3111506849315</v>
      </c>
      <c r="M81" s="4">
        <v>0.65371428571428569</v>
      </c>
      <c r="N81" s="8">
        <v>437</v>
      </c>
      <c r="O81" s="8">
        <v>12</v>
      </c>
      <c r="P81" s="5">
        <v>2.9</v>
      </c>
      <c r="Q81" s="5">
        <v>9.9000000000000005E-2</v>
      </c>
      <c r="R81" s="1">
        <v>80</v>
      </c>
      <c r="S81" s="1">
        <v>52.485191929999999</v>
      </c>
      <c r="T81" s="1">
        <v>13.675334700000001</v>
      </c>
      <c r="U81" s="1">
        <v>0</v>
      </c>
      <c r="V81" s="1">
        <v>0</v>
      </c>
      <c r="W81" s="4">
        <f t="shared" si="1"/>
        <v>0.34628571428571431</v>
      </c>
    </row>
    <row r="82" spans="1:23" x14ac:dyDescent="0.2">
      <c r="A82" s="1" t="s">
        <v>100</v>
      </c>
      <c r="B82" s="1" t="s">
        <v>80</v>
      </c>
      <c r="C82" s="1">
        <v>1036.609981351</v>
      </c>
      <c r="D82" s="5">
        <v>322.55555556666701</v>
      </c>
      <c r="E82" s="4">
        <v>7.0441793125874002</v>
      </c>
      <c r="F82" s="4">
        <v>207.44731799769701</v>
      </c>
      <c r="G82" s="1">
        <v>30</v>
      </c>
      <c r="H82" s="1">
        <v>7</v>
      </c>
      <c r="I82" s="7">
        <v>3</v>
      </c>
      <c r="J82" s="1">
        <v>2</v>
      </c>
      <c r="K82" s="1">
        <v>0</v>
      </c>
      <c r="L82" s="4">
        <v>10.3111506849315</v>
      </c>
      <c r="M82" s="4">
        <v>0.64645308924485123</v>
      </c>
      <c r="N82" s="8">
        <v>449</v>
      </c>
      <c r="O82" s="8">
        <v>78</v>
      </c>
      <c r="P82" s="5">
        <v>2.1</v>
      </c>
      <c r="Q82" s="5">
        <v>0.22033333333333299</v>
      </c>
      <c r="R82" s="1">
        <v>36</v>
      </c>
      <c r="S82" s="1">
        <v>52.474548740000003</v>
      </c>
      <c r="T82" s="1">
        <v>13.663801429999999</v>
      </c>
      <c r="U82" s="1">
        <v>1</v>
      </c>
      <c r="V82" s="1">
        <v>1</v>
      </c>
      <c r="W82" s="4">
        <f t="shared" si="1"/>
        <v>0.35354691075514877</v>
      </c>
    </row>
    <row r="83" spans="1:23" x14ac:dyDescent="0.2">
      <c r="A83" s="1" t="s">
        <v>101</v>
      </c>
      <c r="B83" s="1" t="s">
        <v>80</v>
      </c>
      <c r="C83" s="1">
        <v>154.865574438214</v>
      </c>
      <c r="D83" s="5">
        <v>35.311111111000002</v>
      </c>
      <c r="E83" s="4">
        <v>3475.5536077752799</v>
      </c>
      <c r="F83" s="4">
        <v>101.906824478338</v>
      </c>
      <c r="G83" s="1">
        <v>20</v>
      </c>
      <c r="H83" s="1">
        <v>9</v>
      </c>
      <c r="I83" s="7">
        <v>4</v>
      </c>
      <c r="J83" s="1">
        <v>5</v>
      </c>
      <c r="K83" s="1">
        <v>2</v>
      </c>
      <c r="L83" s="4">
        <v>10.3111506849315</v>
      </c>
      <c r="M83" s="4">
        <v>0.6560364464692483</v>
      </c>
      <c r="N83" s="8">
        <v>857</v>
      </c>
      <c r="O83" s="8">
        <v>83</v>
      </c>
      <c r="P83" s="5">
        <v>0.96666666666666701</v>
      </c>
      <c r="Q83" s="5">
        <v>0.311</v>
      </c>
      <c r="R83" s="1">
        <v>47</v>
      </c>
      <c r="S83" s="1">
        <v>52.494599370000003</v>
      </c>
      <c r="T83" s="1">
        <v>13.70900746</v>
      </c>
      <c r="U83" s="1">
        <v>1</v>
      </c>
      <c r="V83" s="1">
        <v>0</v>
      </c>
      <c r="W83" s="4">
        <f t="shared" si="1"/>
        <v>0.3439635535307517</v>
      </c>
    </row>
    <row r="84" spans="1:23" x14ac:dyDescent="0.2">
      <c r="A84" s="1" t="s">
        <v>102</v>
      </c>
      <c r="B84" s="1" t="s">
        <v>80</v>
      </c>
      <c r="C84" s="1">
        <v>175.514189738071</v>
      </c>
      <c r="D84" s="5">
        <v>44.822222223333299</v>
      </c>
      <c r="E84" s="4">
        <v>2924.6314833552001</v>
      </c>
      <c r="F84" s="4">
        <v>54.6474432476397</v>
      </c>
      <c r="G84" s="1">
        <v>5</v>
      </c>
      <c r="H84" s="1">
        <v>8</v>
      </c>
      <c r="I84" s="7">
        <v>7</v>
      </c>
      <c r="J84" s="1">
        <v>9</v>
      </c>
      <c r="K84" s="1">
        <v>0</v>
      </c>
      <c r="L84" s="4">
        <v>10.3111506849315</v>
      </c>
      <c r="M84" s="4">
        <v>0.65521191294387171</v>
      </c>
      <c r="N84" s="8">
        <v>851</v>
      </c>
      <c r="O84" s="8">
        <v>87</v>
      </c>
      <c r="P84" s="5">
        <v>1.43333333333333</v>
      </c>
      <c r="Q84" s="5">
        <v>0.10566666666666701</v>
      </c>
      <c r="R84" s="1">
        <v>27</v>
      </c>
      <c r="S84" s="1">
        <v>52.473271019999999</v>
      </c>
      <c r="T84" s="1">
        <v>13.696775860000001</v>
      </c>
      <c r="U84" s="1">
        <v>1</v>
      </c>
      <c r="V84" s="1">
        <v>1</v>
      </c>
      <c r="W84" s="4">
        <f t="shared" si="1"/>
        <v>0.34478808705612829</v>
      </c>
    </row>
    <row r="85" spans="1:23" x14ac:dyDescent="0.2">
      <c r="A85" s="1" t="s">
        <v>103</v>
      </c>
      <c r="B85" s="1" t="s">
        <v>80</v>
      </c>
      <c r="C85" s="1">
        <v>7.1110916308999998</v>
      </c>
      <c r="D85" s="5">
        <v>88.883333335000003</v>
      </c>
      <c r="E85" s="4">
        <v>30.435187233524299</v>
      </c>
      <c r="F85" s="4">
        <v>1459.97650518163</v>
      </c>
      <c r="G85" s="1">
        <v>50</v>
      </c>
      <c r="H85" s="1">
        <v>15</v>
      </c>
      <c r="I85" s="7">
        <v>6</v>
      </c>
      <c r="J85" s="1">
        <v>10</v>
      </c>
      <c r="K85" s="1">
        <v>3</v>
      </c>
      <c r="L85" s="4">
        <v>10.411767123287699</v>
      </c>
      <c r="M85" s="4">
        <v>0.63035921205098489</v>
      </c>
      <c r="N85" s="8">
        <v>2262</v>
      </c>
      <c r="O85" s="8">
        <v>24</v>
      </c>
      <c r="P85" s="5">
        <v>3.7</v>
      </c>
      <c r="Q85" s="5">
        <v>0.23599999999999999</v>
      </c>
      <c r="R85" s="1">
        <v>70</v>
      </c>
      <c r="S85" s="1">
        <v>52.495827030000001</v>
      </c>
      <c r="T85" s="1">
        <v>14.12531384</v>
      </c>
      <c r="U85" s="1">
        <v>1</v>
      </c>
      <c r="V85" s="1">
        <v>0</v>
      </c>
      <c r="W85" s="4">
        <f t="shared" si="1"/>
        <v>0.36964078794901511</v>
      </c>
    </row>
    <row r="86" spans="1:23" x14ac:dyDescent="0.2">
      <c r="A86" s="1" t="s">
        <v>104</v>
      </c>
      <c r="B86" s="1" t="s">
        <v>80</v>
      </c>
      <c r="C86" s="1">
        <v>245.01844549328601</v>
      </c>
      <c r="D86" s="5">
        <v>39.544444443333298</v>
      </c>
      <c r="E86" s="4">
        <v>207.71394645633899</v>
      </c>
      <c r="F86" s="4">
        <v>1745.41491880491</v>
      </c>
      <c r="G86" s="1">
        <v>80</v>
      </c>
      <c r="H86" s="1">
        <v>19</v>
      </c>
      <c r="I86" s="7">
        <v>10</v>
      </c>
      <c r="J86" s="1">
        <v>7</v>
      </c>
      <c r="K86" s="1">
        <v>3</v>
      </c>
      <c r="L86" s="4">
        <v>10.411767123287699</v>
      </c>
      <c r="M86" s="4">
        <v>0.63329452852153667</v>
      </c>
      <c r="N86" s="8">
        <v>648</v>
      </c>
      <c r="O86" s="8">
        <v>57</v>
      </c>
      <c r="P86" s="5">
        <v>2.2333333333333298</v>
      </c>
      <c r="Q86" s="5">
        <v>0.200333333333333</v>
      </c>
      <c r="R86" s="1">
        <v>100</v>
      </c>
      <c r="S86" s="1">
        <v>52.471712740000001</v>
      </c>
      <c r="T86" s="1">
        <v>14.144748829999999</v>
      </c>
      <c r="U86" s="1">
        <v>0</v>
      </c>
      <c r="V86" s="1">
        <v>0</v>
      </c>
      <c r="W86" s="4">
        <f t="shared" si="1"/>
        <v>0.36670547147846333</v>
      </c>
    </row>
    <row r="87" spans="1:23" x14ac:dyDescent="0.2">
      <c r="A87" s="1" t="s">
        <v>105</v>
      </c>
      <c r="B87" s="1" t="s">
        <v>80</v>
      </c>
      <c r="C87" s="1">
        <v>11.43724203925</v>
      </c>
      <c r="D87" s="5">
        <v>34.299999999999997</v>
      </c>
      <c r="E87" s="4">
        <v>189.21025722721501</v>
      </c>
      <c r="F87" s="4">
        <v>264.41830223093598</v>
      </c>
      <c r="G87" s="1">
        <v>5</v>
      </c>
      <c r="H87" s="1">
        <v>12</v>
      </c>
      <c r="I87" s="7">
        <v>8</v>
      </c>
      <c r="J87" s="1">
        <v>8</v>
      </c>
      <c r="K87" s="1">
        <v>4</v>
      </c>
      <c r="L87" s="4">
        <v>10.411767123287699</v>
      </c>
      <c r="M87" s="4">
        <v>0.62268518518518523</v>
      </c>
      <c r="N87" s="8">
        <v>1460</v>
      </c>
      <c r="O87" s="8">
        <v>16</v>
      </c>
      <c r="P87" s="5">
        <v>2.75</v>
      </c>
      <c r="Q87" s="5">
        <v>0.504</v>
      </c>
      <c r="R87" s="1">
        <v>80</v>
      </c>
      <c r="S87" s="1">
        <v>52.480300319999998</v>
      </c>
      <c r="T87" s="1">
        <v>14.19141613</v>
      </c>
      <c r="U87" s="1">
        <v>1</v>
      </c>
      <c r="V87" s="1">
        <v>0</v>
      </c>
      <c r="W87" s="4">
        <f t="shared" si="1"/>
        <v>0.37731481481481477</v>
      </c>
    </row>
    <row r="88" spans="1:23" x14ac:dyDescent="0.2">
      <c r="A88" s="1" t="s">
        <v>106</v>
      </c>
      <c r="B88" s="1" t="s">
        <v>80</v>
      </c>
      <c r="C88" s="1">
        <v>472.00298487600003</v>
      </c>
      <c r="D88" s="5">
        <v>279.18888886666701</v>
      </c>
      <c r="E88" s="4">
        <v>114.234900195992</v>
      </c>
      <c r="F88" s="4">
        <v>39.467052872650797</v>
      </c>
      <c r="G88" s="1">
        <v>15</v>
      </c>
      <c r="H88" s="1">
        <v>13</v>
      </c>
      <c r="I88" s="7">
        <v>8</v>
      </c>
      <c r="J88" s="1">
        <v>5</v>
      </c>
      <c r="K88" s="1">
        <v>2</v>
      </c>
      <c r="L88" s="4">
        <v>10.411767123287699</v>
      </c>
      <c r="M88" s="4">
        <v>0.62980209545983701</v>
      </c>
      <c r="N88" s="8">
        <v>4949</v>
      </c>
      <c r="O88" s="8">
        <v>23</v>
      </c>
      <c r="P88" s="5">
        <v>8.9666666666666703</v>
      </c>
      <c r="Q88" s="5">
        <v>2.5710000000000002</v>
      </c>
      <c r="R88" s="1">
        <v>85</v>
      </c>
      <c r="S88" s="1">
        <v>52.522101759999998</v>
      </c>
      <c r="T88" s="1">
        <v>14.14459375</v>
      </c>
      <c r="U88" s="1">
        <v>0</v>
      </c>
      <c r="V88" s="1">
        <v>0</v>
      </c>
      <c r="W88" s="4">
        <f t="shared" si="1"/>
        <v>0.37019790454016299</v>
      </c>
    </row>
    <row r="89" spans="1:23" x14ac:dyDescent="0.2">
      <c r="A89" s="1" t="s">
        <v>107</v>
      </c>
      <c r="B89" s="1" t="s">
        <v>80</v>
      </c>
      <c r="C89" s="1">
        <v>7.2807771032500002</v>
      </c>
      <c r="D89" s="5">
        <v>41.733333330000001</v>
      </c>
      <c r="E89" s="4">
        <v>120.374009410645</v>
      </c>
      <c r="F89" s="4">
        <v>8869.6536922078994</v>
      </c>
      <c r="G89" s="1">
        <v>80</v>
      </c>
      <c r="H89" s="1">
        <v>11</v>
      </c>
      <c r="I89" s="7">
        <v>9</v>
      </c>
      <c r="J89" s="1">
        <v>13</v>
      </c>
      <c r="K89" s="1">
        <v>4</v>
      </c>
      <c r="L89" s="4">
        <v>10.411767123287699</v>
      </c>
      <c r="M89" s="4">
        <v>0.62833914053426243</v>
      </c>
      <c r="N89" s="8">
        <v>399</v>
      </c>
      <c r="O89" s="8">
        <v>30</v>
      </c>
      <c r="P89" s="5">
        <v>2.8</v>
      </c>
      <c r="Q89" s="5">
        <v>1.3120000000000001</v>
      </c>
      <c r="R89" s="1">
        <v>65</v>
      </c>
      <c r="S89" s="1">
        <v>52.53009033</v>
      </c>
      <c r="T89" s="1">
        <v>14.13343229</v>
      </c>
      <c r="U89" s="1">
        <v>0</v>
      </c>
      <c r="V89" s="1">
        <v>0</v>
      </c>
      <c r="W89" s="4">
        <f t="shared" si="1"/>
        <v>0.37166085946573757</v>
      </c>
    </row>
    <row r="90" spans="1:23" x14ac:dyDescent="0.2">
      <c r="A90" s="1" t="s">
        <v>108</v>
      </c>
      <c r="B90" s="1" t="s">
        <v>80</v>
      </c>
      <c r="C90" s="1">
        <v>299.89061418791698</v>
      </c>
      <c r="D90" s="5">
        <v>67.3333333333333</v>
      </c>
      <c r="E90" s="4">
        <v>147.82300890706901</v>
      </c>
      <c r="F90" s="4">
        <v>900.70663875214302</v>
      </c>
      <c r="G90" s="1">
        <v>10</v>
      </c>
      <c r="H90" s="1">
        <v>11</v>
      </c>
      <c r="I90" s="7">
        <v>9</v>
      </c>
      <c r="J90" s="1">
        <v>11</v>
      </c>
      <c r="K90" s="1">
        <v>0</v>
      </c>
      <c r="L90" s="4">
        <v>9.6214794520547908</v>
      </c>
      <c r="M90" s="4">
        <v>0.6683480453972257</v>
      </c>
      <c r="N90" s="8">
        <v>2041</v>
      </c>
      <c r="O90" s="8">
        <v>135</v>
      </c>
      <c r="P90" s="5">
        <v>2</v>
      </c>
      <c r="Q90" s="5">
        <v>0.28033333333333299</v>
      </c>
      <c r="R90" s="1">
        <v>95</v>
      </c>
      <c r="S90" s="1">
        <v>53.406309039999996</v>
      </c>
      <c r="T90" s="1">
        <v>13.651233899999999</v>
      </c>
      <c r="U90" s="1">
        <v>1</v>
      </c>
      <c r="V90" s="1">
        <v>1</v>
      </c>
      <c r="W90" s="4">
        <f t="shared" si="1"/>
        <v>0.3316519546027743</v>
      </c>
    </row>
    <row r="91" spans="1:23" x14ac:dyDescent="0.2">
      <c r="A91" s="1" t="s">
        <v>110</v>
      </c>
      <c r="B91" s="1" t="s">
        <v>109</v>
      </c>
      <c r="C91" s="1">
        <v>1100.2941028974999</v>
      </c>
      <c r="D91" s="5">
        <v>57.463333333333303</v>
      </c>
      <c r="E91" s="4">
        <v>292.18565891780497</v>
      </c>
      <c r="F91" s="4">
        <v>906.45320424617296</v>
      </c>
      <c r="G91" s="1">
        <v>1</v>
      </c>
      <c r="H91" s="1">
        <v>13</v>
      </c>
      <c r="I91" s="7">
        <v>7</v>
      </c>
      <c r="J91" s="1">
        <v>13</v>
      </c>
      <c r="K91" s="1">
        <v>1</v>
      </c>
      <c r="L91" s="4">
        <v>8.83832876712329</v>
      </c>
      <c r="M91" s="4">
        <v>0.99014084507042255</v>
      </c>
      <c r="N91" s="8">
        <v>195</v>
      </c>
      <c r="O91" s="8">
        <v>70</v>
      </c>
      <c r="P91" s="5">
        <v>3.2853333333333299</v>
      </c>
      <c r="Q91" s="5">
        <v>0.40866666666666701</v>
      </c>
      <c r="R91" s="1">
        <v>50</v>
      </c>
      <c r="S91" s="1">
        <v>56.181840000000001</v>
      </c>
      <c r="T91" s="1">
        <v>9.66953</v>
      </c>
      <c r="U91" s="1">
        <v>1</v>
      </c>
      <c r="V91" s="1">
        <v>1</v>
      </c>
      <c r="W91" s="4">
        <f t="shared" si="1"/>
        <v>9.8591549295774517E-3</v>
      </c>
    </row>
    <row r="92" spans="1:23" x14ac:dyDescent="0.2">
      <c r="A92" s="1" t="s">
        <v>111</v>
      </c>
      <c r="B92" s="1" t="s">
        <v>109</v>
      </c>
      <c r="C92" s="1">
        <v>76.692046457199993</v>
      </c>
      <c r="D92" s="5">
        <v>35.876666666666701</v>
      </c>
      <c r="E92" s="4">
        <v>272.26302991694001</v>
      </c>
      <c r="F92" s="4">
        <v>1143.6114845217201</v>
      </c>
      <c r="G92" s="1">
        <v>1</v>
      </c>
      <c r="H92" s="1">
        <v>10</v>
      </c>
      <c r="I92" s="7">
        <v>6</v>
      </c>
      <c r="J92" s="1">
        <v>9</v>
      </c>
      <c r="K92" s="1">
        <v>3</v>
      </c>
      <c r="L92" s="4">
        <v>8.83832876712329</v>
      </c>
      <c r="M92" s="4">
        <v>0.99434229137199437</v>
      </c>
      <c r="N92" s="8">
        <v>340</v>
      </c>
      <c r="O92" s="8">
        <v>70</v>
      </c>
      <c r="P92" s="5">
        <v>0.72933333333333294</v>
      </c>
      <c r="Q92" s="5">
        <v>0.202333333333333</v>
      </c>
      <c r="R92" s="1">
        <v>85</v>
      </c>
      <c r="S92" s="1">
        <v>56.174520000000001</v>
      </c>
      <c r="T92" s="1">
        <v>9.6714800000000007</v>
      </c>
      <c r="U92" s="1">
        <v>1</v>
      </c>
      <c r="V92" s="1">
        <v>1</v>
      </c>
      <c r="W92" s="4">
        <f t="shared" si="1"/>
        <v>5.657708628005631E-3</v>
      </c>
    </row>
    <row r="93" spans="1:23" x14ac:dyDescent="0.2">
      <c r="A93" s="1" t="s">
        <v>112</v>
      </c>
      <c r="B93" s="1" t="s">
        <v>109</v>
      </c>
      <c r="C93" s="1">
        <v>59.988713877125001</v>
      </c>
      <c r="D93" s="5">
        <v>19.313333333333301</v>
      </c>
      <c r="E93" s="4">
        <v>877.993099301435</v>
      </c>
      <c r="F93" s="4">
        <v>806.149358366868</v>
      </c>
      <c r="G93" s="1">
        <v>10</v>
      </c>
      <c r="H93" s="1">
        <v>16</v>
      </c>
      <c r="I93" s="7">
        <v>10</v>
      </c>
      <c r="J93" s="1">
        <v>11</v>
      </c>
      <c r="K93" s="1">
        <v>2</v>
      </c>
      <c r="L93" s="4">
        <v>8.83832876712329</v>
      </c>
      <c r="M93" s="4">
        <v>0.99296765119549935</v>
      </c>
      <c r="N93" s="8">
        <v>1565</v>
      </c>
      <c r="O93" s="8">
        <v>70</v>
      </c>
      <c r="P93" s="5">
        <v>1.286</v>
      </c>
      <c r="Q93" s="5">
        <v>0.166333333333333</v>
      </c>
      <c r="R93" s="1">
        <v>65</v>
      </c>
      <c r="S93" s="1">
        <v>56.151710000000001</v>
      </c>
      <c r="T93" s="1">
        <v>9.7028300000000005</v>
      </c>
      <c r="U93" s="1">
        <v>1</v>
      </c>
      <c r="V93" s="1">
        <v>1</v>
      </c>
      <c r="W93" s="4">
        <f t="shared" si="1"/>
        <v>7.0323488045006544E-3</v>
      </c>
    </row>
    <row r="94" spans="1:23" x14ac:dyDescent="0.2">
      <c r="A94" s="1" t="s">
        <v>113</v>
      </c>
      <c r="B94" s="1" t="s">
        <v>109</v>
      </c>
      <c r="C94" s="1">
        <v>210.84861848560001</v>
      </c>
      <c r="D94" s="5">
        <v>15.675000000000001</v>
      </c>
      <c r="E94" s="4">
        <v>1542.22383363022</v>
      </c>
      <c r="F94" s="4">
        <v>86.680738564865507</v>
      </c>
      <c r="G94" s="1">
        <v>10</v>
      </c>
      <c r="H94" s="1">
        <v>6</v>
      </c>
      <c r="I94" s="7">
        <v>7</v>
      </c>
      <c r="J94" s="1">
        <v>5</v>
      </c>
      <c r="K94" s="1">
        <v>3</v>
      </c>
      <c r="L94" s="4">
        <v>9.9439863013698595</v>
      </c>
      <c r="M94" s="4">
        <v>0.96592592592592597</v>
      </c>
      <c r="N94" s="8">
        <v>500</v>
      </c>
      <c r="O94" s="8">
        <v>70</v>
      </c>
      <c r="P94" s="5">
        <v>2.2246666666666699</v>
      </c>
      <c r="Q94" s="5">
        <v>0.76066666666666705</v>
      </c>
      <c r="R94" s="1">
        <v>80</v>
      </c>
      <c r="S94" s="1">
        <v>55.030059999999999</v>
      </c>
      <c r="T94" s="1">
        <v>10.26042</v>
      </c>
      <c r="U94" s="1">
        <v>1</v>
      </c>
      <c r="V94" s="1">
        <v>1</v>
      </c>
      <c r="W94" s="4">
        <f t="shared" si="1"/>
        <v>3.4074074074074034E-2</v>
      </c>
    </row>
    <row r="95" spans="1:23" x14ac:dyDescent="0.2">
      <c r="A95" s="1" t="s">
        <v>114</v>
      </c>
      <c r="B95" s="1" t="s">
        <v>109</v>
      </c>
      <c r="C95" s="1">
        <v>599.64416554750005</v>
      </c>
      <c r="D95" s="5">
        <v>32.1933333333333</v>
      </c>
      <c r="E95" s="4">
        <v>927.18043137373002</v>
      </c>
      <c r="F95" s="4">
        <v>56.569256071898003</v>
      </c>
      <c r="G95" s="1">
        <v>10</v>
      </c>
      <c r="H95" s="1">
        <v>21</v>
      </c>
      <c r="I95" s="7">
        <v>6</v>
      </c>
      <c r="J95" s="1">
        <v>7</v>
      </c>
      <c r="K95" s="1">
        <v>2</v>
      </c>
      <c r="L95" s="4">
        <v>10.209383561643801</v>
      </c>
      <c r="M95" s="4">
        <v>0.95936139332365744</v>
      </c>
      <c r="N95" s="8">
        <v>3360</v>
      </c>
      <c r="O95" s="8">
        <v>150</v>
      </c>
      <c r="P95" s="5">
        <v>3.5249999999999999</v>
      </c>
      <c r="Q95" s="5">
        <v>0.36766666666666697</v>
      </c>
      <c r="R95" s="1">
        <v>93</v>
      </c>
      <c r="S95" s="1">
        <v>54.85707</v>
      </c>
      <c r="T95" s="1">
        <v>10.39068</v>
      </c>
      <c r="U95" s="1">
        <v>1</v>
      </c>
      <c r="V95" s="1">
        <v>1</v>
      </c>
      <c r="W95" s="4">
        <f t="shared" si="1"/>
        <v>4.0638606676342559E-2</v>
      </c>
    </row>
    <row r="96" spans="1:23" x14ac:dyDescent="0.2">
      <c r="A96" s="1" t="s">
        <v>115</v>
      </c>
      <c r="B96" s="1" t="s">
        <v>109</v>
      </c>
      <c r="C96" s="1">
        <v>452.60165372366703</v>
      </c>
      <c r="D96" s="5">
        <v>21.468</v>
      </c>
      <c r="E96" s="4">
        <v>1117.22551420332</v>
      </c>
      <c r="F96" s="4">
        <v>505.34452574058099</v>
      </c>
      <c r="G96" s="1">
        <v>35</v>
      </c>
      <c r="H96" s="1">
        <v>14</v>
      </c>
      <c r="I96" s="7">
        <v>7</v>
      </c>
      <c r="J96" s="1">
        <v>11</v>
      </c>
      <c r="K96" s="1">
        <v>3</v>
      </c>
      <c r="L96" s="4">
        <v>9.9439863013698595</v>
      </c>
      <c r="M96" s="4">
        <v>0.97799999999999998</v>
      </c>
      <c r="N96" s="8">
        <v>240</v>
      </c>
      <c r="O96" s="8">
        <v>130</v>
      </c>
      <c r="P96" s="5">
        <v>1.0033333333333301</v>
      </c>
      <c r="Q96" s="5">
        <v>0.12766666666666701</v>
      </c>
      <c r="R96" s="1">
        <v>90</v>
      </c>
      <c r="S96" s="1">
        <v>54.901429999999998</v>
      </c>
      <c r="T96" s="1">
        <v>10.33348</v>
      </c>
      <c r="U96" s="1">
        <v>1</v>
      </c>
      <c r="V96" s="1">
        <v>1</v>
      </c>
      <c r="W96" s="4">
        <f t="shared" si="1"/>
        <v>2.200000000000002E-2</v>
      </c>
    </row>
    <row r="97" spans="1:23" x14ac:dyDescent="0.2">
      <c r="A97" s="1" t="s">
        <v>116</v>
      </c>
      <c r="B97" s="1" t="s">
        <v>109</v>
      </c>
      <c r="C97" s="1">
        <v>183.18576537925</v>
      </c>
      <c r="D97" s="5">
        <v>23.8466666666667</v>
      </c>
      <c r="E97" s="4">
        <v>2008.9424880153699</v>
      </c>
      <c r="F97" s="4">
        <v>342.28999868523198</v>
      </c>
      <c r="G97" s="1">
        <v>10</v>
      </c>
      <c r="H97" s="1">
        <v>12</v>
      </c>
      <c r="I97" s="7">
        <v>5</v>
      </c>
      <c r="J97" s="1">
        <v>5</v>
      </c>
      <c r="K97" s="1">
        <v>4</v>
      </c>
      <c r="L97" s="4">
        <v>9.9439863013698595</v>
      </c>
      <c r="M97" s="4">
        <v>0.99269005847953218</v>
      </c>
      <c r="N97" s="8">
        <v>820</v>
      </c>
      <c r="O97" s="8">
        <v>60</v>
      </c>
      <c r="P97" s="5">
        <v>1.8985000000000001</v>
      </c>
      <c r="Q97" s="5">
        <v>0.42049999999999998</v>
      </c>
      <c r="R97" s="1">
        <v>90</v>
      </c>
      <c r="S97" s="1">
        <v>54.902290000000001</v>
      </c>
      <c r="T97" s="1">
        <v>10.318659999999999</v>
      </c>
      <c r="U97" s="1">
        <v>1</v>
      </c>
      <c r="V97" s="1">
        <v>0</v>
      </c>
      <c r="W97" s="4">
        <f t="shared" si="1"/>
        <v>7.309941520467822E-3</v>
      </c>
    </row>
    <row r="98" spans="1:23" x14ac:dyDescent="0.2">
      <c r="A98" s="1" t="s">
        <v>117</v>
      </c>
      <c r="B98" s="1" t="s">
        <v>109</v>
      </c>
      <c r="C98" s="1">
        <v>41.925172130833303</v>
      </c>
      <c r="D98" s="5">
        <v>20.635999999999999</v>
      </c>
      <c r="E98" s="4">
        <v>299.71425597780802</v>
      </c>
      <c r="F98" s="4">
        <v>246.57987240464001</v>
      </c>
      <c r="G98" s="1">
        <v>45</v>
      </c>
      <c r="H98" s="1">
        <v>9</v>
      </c>
      <c r="I98" s="7">
        <v>8</v>
      </c>
      <c r="J98" s="1">
        <v>13</v>
      </c>
      <c r="K98" s="1">
        <v>2</v>
      </c>
      <c r="L98" s="4">
        <v>9.1954931506849302</v>
      </c>
      <c r="M98" s="4">
        <v>1.0708074534161491</v>
      </c>
      <c r="N98" s="8">
        <v>1420</v>
      </c>
      <c r="O98" s="8">
        <v>140</v>
      </c>
      <c r="P98" s="5">
        <v>1.16933333333333</v>
      </c>
      <c r="Q98" s="5">
        <v>0.112</v>
      </c>
      <c r="R98" s="1">
        <v>0</v>
      </c>
      <c r="S98" s="1">
        <v>56.27402</v>
      </c>
      <c r="T98" s="1">
        <v>8.4931699999999992</v>
      </c>
      <c r="U98" s="1">
        <v>0</v>
      </c>
      <c r="V98" s="1">
        <v>1</v>
      </c>
      <c r="W98" s="4">
        <f t="shared" si="1"/>
        <v>-7.0807453416149135E-2</v>
      </c>
    </row>
    <row r="99" spans="1:23" x14ac:dyDescent="0.2">
      <c r="A99" s="1" t="s">
        <v>118</v>
      </c>
      <c r="B99" s="1" t="s">
        <v>109</v>
      </c>
      <c r="C99" s="1">
        <v>330.30620537733301</v>
      </c>
      <c r="D99" s="5">
        <v>16.605</v>
      </c>
      <c r="E99" s="4">
        <v>689.30529730407295</v>
      </c>
      <c r="F99" s="4">
        <v>252.55919342081799</v>
      </c>
      <c r="G99" s="1">
        <v>60</v>
      </c>
      <c r="H99" s="1">
        <v>15</v>
      </c>
      <c r="I99" s="7">
        <v>10</v>
      </c>
      <c r="J99" s="1">
        <v>6</v>
      </c>
      <c r="K99" s="1">
        <v>4</v>
      </c>
      <c r="L99" s="4">
        <v>9.9439863013698595</v>
      </c>
      <c r="M99" s="4">
        <v>0.96449704142011838</v>
      </c>
      <c r="N99" s="8">
        <v>830</v>
      </c>
      <c r="O99" s="8">
        <v>70</v>
      </c>
      <c r="P99" s="5">
        <v>1.909</v>
      </c>
      <c r="Q99" s="5">
        <v>0.36733333333333301</v>
      </c>
      <c r="R99" s="1">
        <v>80</v>
      </c>
      <c r="S99" s="1">
        <v>55.02196</v>
      </c>
      <c r="T99" s="1">
        <v>10.259309999999999</v>
      </c>
      <c r="U99" s="1">
        <v>0</v>
      </c>
      <c r="V99" s="1">
        <v>1</v>
      </c>
      <c r="W99" s="4">
        <f t="shared" si="1"/>
        <v>3.5502958579881616E-2</v>
      </c>
    </row>
    <row r="100" spans="1:23" x14ac:dyDescent="0.2">
      <c r="A100" s="1" t="s">
        <v>119</v>
      </c>
      <c r="B100" s="1" t="s">
        <v>109</v>
      </c>
      <c r="C100" s="1">
        <v>43.292197645000002</v>
      </c>
      <c r="D100" s="5">
        <v>7.17</v>
      </c>
      <c r="E100" s="4">
        <v>160.95239738016599</v>
      </c>
      <c r="F100" s="4">
        <v>1024.5026173886599</v>
      </c>
      <c r="G100" s="1">
        <v>35</v>
      </c>
      <c r="H100" s="1">
        <v>15</v>
      </c>
      <c r="I100" s="7">
        <v>8</v>
      </c>
      <c r="J100" s="1">
        <v>16</v>
      </c>
      <c r="K100" s="1">
        <v>2</v>
      </c>
      <c r="L100" s="4">
        <v>9.1954931506849302</v>
      </c>
      <c r="M100" s="4">
        <v>1.0602706027060271</v>
      </c>
      <c r="N100" s="8">
        <v>3660</v>
      </c>
      <c r="O100" s="8">
        <v>90</v>
      </c>
      <c r="P100" s="5">
        <v>0.23799999999999999</v>
      </c>
      <c r="Q100" s="5">
        <v>0.163333333333333</v>
      </c>
      <c r="R100" s="1">
        <v>0</v>
      </c>
      <c r="S100" s="1">
        <v>56.283670000000001</v>
      </c>
      <c r="T100" s="1">
        <v>8.4651899999999998</v>
      </c>
      <c r="U100" s="1">
        <v>1</v>
      </c>
      <c r="V100" s="1">
        <v>1</v>
      </c>
      <c r="W100" s="4">
        <f t="shared" si="1"/>
        <v>-6.0270602706027132E-2</v>
      </c>
    </row>
    <row r="101" spans="1:23" x14ac:dyDescent="0.2">
      <c r="A101" s="1" t="s">
        <v>120</v>
      </c>
      <c r="B101" s="1" t="s">
        <v>109</v>
      </c>
      <c r="C101" s="1">
        <v>481.91166636650001</v>
      </c>
      <c r="D101" s="5">
        <v>21.92</v>
      </c>
      <c r="E101" s="4">
        <v>308.84161020676697</v>
      </c>
      <c r="F101" s="4">
        <v>277.56376706018602</v>
      </c>
      <c r="G101" s="1">
        <v>1</v>
      </c>
      <c r="H101" s="1">
        <v>22</v>
      </c>
      <c r="I101" s="7">
        <v>5</v>
      </c>
      <c r="J101" s="1">
        <v>9</v>
      </c>
      <c r="K101" s="1">
        <v>4</v>
      </c>
      <c r="L101" s="4">
        <v>9.9439863013698595</v>
      </c>
      <c r="M101" s="4">
        <v>0.96307237813884783</v>
      </c>
      <c r="N101" s="8">
        <v>770</v>
      </c>
      <c r="O101" s="8">
        <v>70</v>
      </c>
      <c r="P101" s="5">
        <v>1.50966666666667</v>
      </c>
      <c r="Q101" s="5">
        <v>0.835666666666667</v>
      </c>
      <c r="R101" s="1">
        <v>80</v>
      </c>
      <c r="S101" s="1">
        <v>55.021419999999999</v>
      </c>
      <c r="T101" s="1">
        <v>10.256119999999999</v>
      </c>
      <c r="U101" s="1">
        <v>0</v>
      </c>
      <c r="V101" s="1">
        <v>1</v>
      </c>
      <c r="W101" s="4">
        <f t="shared" si="1"/>
        <v>3.6927621861152171E-2</v>
      </c>
    </row>
    <row r="102" spans="1:23" x14ac:dyDescent="0.2">
      <c r="A102" s="1" t="s">
        <v>121</v>
      </c>
      <c r="B102" s="1" t="s">
        <v>109</v>
      </c>
      <c r="C102" s="1">
        <v>229.55621989883301</v>
      </c>
      <c r="D102" s="5">
        <v>62.878</v>
      </c>
      <c r="E102" s="4">
        <v>2033.9830261397799</v>
      </c>
      <c r="F102" s="4">
        <v>484.75796235304699</v>
      </c>
      <c r="G102" s="1">
        <v>10</v>
      </c>
      <c r="H102" s="1">
        <v>7</v>
      </c>
      <c r="I102" s="7">
        <v>4</v>
      </c>
      <c r="J102" s="1">
        <v>12</v>
      </c>
      <c r="K102" s="1">
        <v>3</v>
      </c>
      <c r="L102" s="4">
        <v>9.1954931506849302</v>
      </c>
      <c r="M102" s="4">
        <v>1.0575275397796817</v>
      </c>
      <c r="N102" s="8">
        <v>1690</v>
      </c>
      <c r="O102" s="8">
        <v>150</v>
      </c>
      <c r="P102" s="5">
        <v>2.6356666666666699</v>
      </c>
      <c r="Q102" s="5">
        <v>0.57799999999999996</v>
      </c>
      <c r="R102" s="1">
        <v>85</v>
      </c>
      <c r="S102" s="1">
        <v>56.211350000000003</v>
      </c>
      <c r="T102" s="1">
        <v>8.4754100000000001</v>
      </c>
      <c r="U102" s="1">
        <v>1</v>
      </c>
      <c r="V102" s="1">
        <v>1</v>
      </c>
      <c r="W102" s="4">
        <f t="shared" si="1"/>
        <v>-5.7527539779681724E-2</v>
      </c>
    </row>
    <row r="103" spans="1:23" x14ac:dyDescent="0.2">
      <c r="A103" s="1" t="s">
        <v>122</v>
      </c>
      <c r="B103" s="1" t="s">
        <v>109</v>
      </c>
      <c r="C103" s="1">
        <v>55.224279987000003</v>
      </c>
      <c r="D103" s="5">
        <v>45.601999999999997</v>
      </c>
      <c r="E103" s="4">
        <v>3267.2421461182798</v>
      </c>
      <c r="F103" s="4">
        <v>272.85399166097</v>
      </c>
      <c r="G103" s="1">
        <v>10</v>
      </c>
      <c r="H103" s="1">
        <v>12</v>
      </c>
      <c r="I103" s="7">
        <v>8</v>
      </c>
      <c r="J103" s="1">
        <v>6</v>
      </c>
      <c r="K103" s="1">
        <v>3</v>
      </c>
      <c r="L103" s="4">
        <v>9.1954931506849302</v>
      </c>
      <c r="M103" s="4">
        <v>1.0614250614250613</v>
      </c>
      <c r="N103" s="8">
        <v>2170</v>
      </c>
      <c r="O103" s="8">
        <v>60</v>
      </c>
      <c r="P103" s="5">
        <v>0.99566666666666703</v>
      </c>
      <c r="Q103" s="5">
        <v>0.27700000000000002</v>
      </c>
      <c r="R103" s="1">
        <v>30</v>
      </c>
      <c r="S103" s="1">
        <v>56.219259999999998</v>
      </c>
      <c r="T103" s="1">
        <v>8.4891299999999994</v>
      </c>
      <c r="U103" s="1">
        <v>1</v>
      </c>
      <c r="V103" s="1">
        <v>1</v>
      </c>
      <c r="W103" s="4">
        <f t="shared" si="1"/>
        <v>-6.1425061425061322E-2</v>
      </c>
    </row>
    <row r="104" spans="1:23" x14ac:dyDescent="0.2">
      <c r="A104" s="1" t="s">
        <v>123</v>
      </c>
      <c r="B104" s="1" t="s">
        <v>109</v>
      </c>
      <c r="C104" s="1">
        <v>5.7428181281428596</v>
      </c>
      <c r="D104" s="5">
        <v>8.952</v>
      </c>
      <c r="E104" s="4">
        <v>198.835276190298</v>
      </c>
      <c r="F104" s="4">
        <v>225.530467135355</v>
      </c>
      <c r="G104" s="1">
        <v>35</v>
      </c>
      <c r="H104" s="1">
        <v>10</v>
      </c>
      <c r="I104" s="7">
        <v>11</v>
      </c>
      <c r="J104" s="1">
        <v>7</v>
      </c>
      <c r="K104" s="1">
        <v>1</v>
      </c>
      <c r="L104" s="4">
        <v>9.1954931506849302</v>
      </c>
      <c r="M104" s="4">
        <v>1.0575275397796817</v>
      </c>
      <c r="N104" s="8">
        <v>2600</v>
      </c>
      <c r="O104" s="8">
        <v>110</v>
      </c>
      <c r="P104" s="5">
        <v>0.51200000000000001</v>
      </c>
      <c r="Q104" s="5">
        <v>0.119333333333333</v>
      </c>
      <c r="R104" s="1">
        <v>75</v>
      </c>
      <c r="S104" s="1">
        <v>56.244340000000001</v>
      </c>
      <c r="T104" s="1">
        <v>8.4433699999999998</v>
      </c>
      <c r="U104" s="1">
        <v>1</v>
      </c>
      <c r="V104" s="1">
        <v>1</v>
      </c>
      <c r="W104" s="4">
        <f t="shared" si="1"/>
        <v>-5.7527539779681724E-2</v>
      </c>
    </row>
    <row r="105" spans="1:23" x14ac:dyDescent="0.2">
      <c r="A105" s="1" t="s">
        <v>124</v>
      </c>
      <c r="B105" s="1" t="s">
        <v>109</v>
      </c>
      <c r="C105" s="1">
        <v>105.7708460635</v>
      </c>
      <c r="D105" s="5">
        <v>40.027500000000003</v>
      </c>
      <c r="E105" s="4">
        <v>450.42844400278398</v>
      </c>
      <c r="F105" s="4">
        <v>55.301541969318599</v>
      </c>
      <c r="G105" s="1">
        <v>1</v>
      </c>
      <c r="H105" s="1">
        <v>14</v>
      </c>
      <c r="I105" s="7">
        <v>6</v>
      </c>
      <c r="J105" s="1">
        <v>4</v>
      </c>
      <c r="K105" s="1">
        <v>3</v>
      </c>
      <c r="L105" s="4">
        <v>9.9439863013698595</v>
      </c>
      <c r="M105" s="4">
        <v>0.96449704142011838</v>
      </c>
      <c r="N105" s="8">
        <v>710</v>
      </c>
      <c r="O105" s="8">
        <v>70</v>
      </c>
      <c r="P105" s="5">
        <v>1.6783333333333299</v>
      </c>
      <c r="Q105" s="5">
        <v>0.87566666666666704</v>
      </c>
      <c r="R105" s="1">
        <v>80</v>
      </c>
      <c r="S105" s="1">
        <v>55.022359999999999</v>
      </c>
      <c r="T105" s="1">
        <v>10.264340000000001</v>
      </c>
      <c r="U105" s="1">
        <v>1</v>
      </c>
      <c r="V105" s="1">
        <v>1</v>
      </c>
      <c r="W105" s="4">
        <f t="shared" si="1"/>
        <v>3.5502958579881616E-2</v>
      </c>
    </row>
    <row r="106" spans="1:23" x14ac:dyDescent="0.2">
      <c r="A106" s="1" t="s">
        <v>125</v>
      </c>
      <c r="B106" s="1" t="s">
        <v>109</v>
      </c>
      <c r="C106" s="1">
        <v>16.198246463866699</v>
      </c>
      <c r="D106" s="5">
        <v>19.4725</v>
      </c>
      <c r="E106" s="4">
        <v>2759.1253852329501</v>
      </c>
      <c r="F106" s="4">
        <v>951.83176746890604</v>
      </c>
      <c r="G106" s="1">
        <v>35</v>
      </c>
      <c r="H106" s="1">
        <v>12</v>
      </c>
      <c r="I106" s="7">
        <v>12</v>
      </c>
      <c r="J106" s="1">
        <v>10</v>
      </c>
      <c r="K106" s="1">
        <v>4</v>
      </c>
      <c r="L106" s="4">
        <v>9.1954931506849302</v>
      </c>
      <c r="M106" s="4">
        <v>1.047677261613692</v>
      </c>
      <c r="N106" s="8">
        <v>3770</v>
      </c>
      <c r="O106" s="8">
        <v>90</v>
      </c>
      <c r="P106" s="5">
        <v>0.79666666666666697</v>
      </c>
      <c r="Q106" s="5">
        <v>0.18566666666666701</v>
      </c>
      <c r="R106" s="1">
        <v>0</v>
      </c>
      <c r="S106" s="1">
        <v>56.249450000000003</v>
      </c>
      <c r="T106" s="1">
        <v>8.4082100000000004</v>
      </c>
      <c r="U106" s="1">
        <v>0</v>
      </c>
      <c r="V106" s="1">
        <v>1</v>
      </c>
      <c r="W106" s="4">
        <f t="shared" si="1"/>
        <v>-4.7677261613692012E-2</v>
      </c>
    </row>
    <row r="107" spans="1:23" x14ac:dyDescent="0.2">
      <c r="A107" s="1" t="s">
        <v>126</v>
      </c>
      <c r="B107" s="1" t="s">
        <v>109</v>
      </c>
      <c r="C107" s="1">
        <v>222.094289153125</v>
      </c>
      <c r="D107" s="5">
        <v>66.346666666666707</v>
      </c>
      <c r="E107" s="4">
        <v>223.87834372079999</v>
      </c>
      <c r="F107" s="4">
        <v>794.37534066472494</v>
      </c>
      <c r="G107" s="1">
        <v>10</v>
      </c>
      <c r="H107" s="1">
        <v>22</v>
      </c>
      <c r="I107" s="7">
        <v>5</v>
      </c>
      <c r="J107" s="1">
        <v>13</v>
      </c>
      <c r="K107" s="1">
        <v>2</v>
      </c>
      <c r="L107" s="4">
        <v>8.83832876712329</v>
      </c>
      <c r="M107" s="4">
        <v>0.9817415730337079</v>
      </c>
      <c r="N107" s="8">
        <v>2700</v>
      </c>
      <c r="O107" s="8">
        <v>190</v>
      </c>
      <c r="P107" s="5">
        <v>1.8013333333333299</v>
      </c>
      <c r="Q107" s="5">
        <v>0.57033333333333303</v>
      </c>
      <c r="R107" s="1">
        <v>85</v>
      </c>
      <c r="S107" s="1">
        <v>56.142319999999998</v>
      </c>
      <c r="T107" s="1">
        <v>9.7152399999999997</v>
      </c>
      <c r="U107" s="1">
        <v>1</v>
      </c>
      <c r="V107" s="1">
        <v>1</v>
      </c>
      <c r="W107" s="4">
        <f t="shared" si="1"/>
        <v>1.8258426966292096E-2</v>
      </c>
    </row>
    <row r="108" spans="1:23" x14ac:dyDescent="0.2">
      <c r="A108" s="1" t="s">
        <v>127</v>
      </c>
      <c r="B108" s="1" t="s">
        <v>109</v>
      </c>
      <c r="C108" s="1">
        <v>203.1254751255</v>
      </c>
      <c r="D108" s="5">
        <v>21.362500000000001</v>
      </c>
      <c r="E108" s="4">
        <v>941.009682443771</v>
      </c>
      <c r="F108" s="4">
        <v>567.61851177214805</v>
      </c>
      <c r="G108" s="1">
        <v>10</v>
      </c>
      <c r="H108" s="1">
        <v>10</v>
      </c>
      <c r="I108" s="7">
        <v>7</v>
      </c>
      <c r="J108" s="1">
        <v>9</v>
      </c>
      <c r="K108" s="1">
        <v>3</v>
      </c>
      <c r="L108" s="4">
        <v>9.9439863013698595</v>
      </c>
      <c r="M108" s="4">
        <v>0.9546120058565154</v>
      </c>
      <c r="N108" s="8">
        <v>500</v>
      </c>
      <c r="O108" s="8">
        <v>60</v>
      </c>
      <c r="P108" s="5">
        <v>2.2233333333333301</v>
      </c>
      <c r="Q108" s="5">
        <v>0.32333333333333297</v>
      </c>
      <c r="R108" s="1">
        <v>100</v>
      </c>
      <c r="S108" s="1">
        <v>55.03152</v>
      </c>
      <c r="T108" s="1">
        <v>10.245559999999999</v>
      </c>
      <c r="U108" s="1">
        <v>0</v>
      </c>
      <c r="V108" s="1">
        <v>1</v>
      </c>
      <c r="W108" s="4">
        <f t="shared" si="1"/>
        <v>4.53879941434846E-2</v>
      </c>
    </row>
    <row r="109" spans="1:23" x14ac:dyDescent="0.2">
      <c r="A109" s="1" t="s">
        <v>128</v>
      </c>
      <c r="B109" s="1" t="s">
        <v>109</v>
      </c>
      <c r="C109" s="1">
        <v>328.30703383579998</v>
      </c>
      <c r="D109" s="5">
        <v>23.76</v>
      </c>
      <c r="E109" s="4">
        <v>974.98962990882796</v>
      </c>
      <c r="F109" s="4">
        <v>1537.9346894297</v>
      </c>
      <c r="G109" s="1">
        <v>1</v>
      </c>
      <c r="H109" s="1">
        <v>13</v>
      </c>
      <c r="I109" s="7">
        <v>6</v>
      </c>
      <c r="J109" s="1">
        <v>9</v>
      </c>
      <c r="K109" s="1">
        <v>4</v>
      </c>
      <c r="L109" s="4">
        <v>9.9439863013698595</v>
      </c>
      <c r="M109" s="4">
        <v>0.9546120058565154</v>
      </c>
      <c r="N109" s="8">
        <v>850</v>
      </c>
      <c r="O109" s="8">
        <v>50</v>
      </c>
      <c r="P109" s="5">
        <v>1.8463333333333301</v>
      </c>
      <c r="Q109" s="5">
        <v>0.35766666666666702</v>
      </c>
      <c r="R109" s="1">
        <v>85</v>
      </c>
      <c r="S109" s="1">
        <v>55.031950000000002</v>
      </c>
      <c r="T109" s="1">
        <v>10.246919999999999</v>
      </c>
      <c r="U109" s="1">
        <v>0</v>
      </c>
      <c r="V109" s="1">
        <v>1</v>
      </c>
      <c r="W109" s="4">
        <f t="shared" si="1"/>
        <v>4.53879941434846E-2</v>
      </c>
    </row>
    <row r="110" spans="1:23" x14ac:dyDescent="0.2">
      <c r="A110" s="1" t="s">
        <v>129</v>
      </c>
      <c r="B110" s="1" t="s">
        <v>109</v>
      </c>
      <c r="C110" s="1">
        <v>115.785783058833</v>
      </c>
      <c r="D110" s="5">
        <v>17.066666666666698</v>
      </c>
      <c r="E110" s="4">
        <v>1452.6489995367499</v>
      </c>
      <c r="F110" s="4">
        <v>1219.8041719145201</v>
      </c>
      <c r="G110" s="1">
        <v>35</v>
      </c>
      <c r="H110" s="1">
        <v>14</v>
      </c>
      <c r="I110" s="7">
        <v>5</v>
      </c>
      <c r="J110" s="1">
        <v>14</v>
      </c>
      <c r="K110" s="1">
        <v>3</v>
      </c>
      <c r="L110" s="4">
        <v>8.83832876712329</v>
      </c>
      <c r="M110" s="4">
        <v>0.97625698324022347</v>
      </c>
      <c r="N110" s="8">
        <v>1380</v>
      </c>
      <c r="O110" s="8">
        <v>140</v>
      </c>
      <c r="P110" s="5">
        <v>0.84833333333333305</v>
      </c>
      <c r="Q110" s="5">
        <v>0.19966666666666699</v>
      </c>
      <c r="R110" s="1">
        <v>95</v>
      </c>
      <c r="S110" s="1">
        <v>56.138719999999999</v>
      </c>
      <c r="T110" s="1">
        <v>9.7167100000000008</v>
      </c>
      <c r="U110" s="1">
        <v>1</v>
      </c>
      <c r="V110" s="1">
        <v>1</v>
      </c>
      <c r="W110" s="4">
        <f t="shared" si="1"/>
        <v>2.3743016759776525E-2</v>
      </c>
    </row>
    <row r="111" spans="1:23" x14ac:dyDescent="0.2">
      <c r="A111" s="1" t="s">
        <v>130</v>
      </c>
      <c r="B111" s="1" t="s">
        <v>109</v>
      </c>
      <c r="C111" s="1">
        <v>72.063111354599997</v>
      </c>
      <c r="D111" s="5">
        <v>15.37</v>
      </c>
      <c r="E111" s="4">
        <v>1469.7728700923101</v>
      </c>
      <c r="F111" s="4">
        <v>1199.36131530494</v>
      </c>
      <c r="G111" s="1">
        <v>10</v>
      </c>
      <c r="H111" s="1">
        <v>19</v>
      </c>
      <c r="I111" s="7">
        <v>6</v>
      </c>
      <c r="J111" s="1">
        <v>9</v>
      </c>
      <c r="K111" s="1">
        <v>1</v>
      </c>
      <c r="L111" s="4">
        <v>8.83832876712329</v>
      </c>
      <c r="M111" s="4">
        <v>0.98603351955307261</v>
      </c>
      <c r="N111" s="8">
        <v>1240</v>
      </c>
      <c r="O111" s="8">
        <v>190</v>
      </c>
      <c r="P111" s="5">
        <v>1.2270000000000001</v>
      </c>
      <c r="Q111" s="5">
        <v>0.27733333333333299</v>
      </c>
      <c r="R111" s="1">
        <v>75</v>
      </c>
      <c r="S111" s="1">
        <v>56.129809999999999</v>
      </c>
      <c r="T111" s="1">
        <v>9.7020199999999992</v>
      </c>
      <c r="U111" s="1">
        <v>0</v>
      </c>
      <c r="V111" s="1">
        <v>1</v>
      </c>
      <c r="W111" s="4">
        <f t="shared" si="1"/>
        <v>1.3966480446927387E-2</v>
      </c>
    </row>
    <row r="112" spans="1:23" x14ac:dyDescent="0.2">
      <c r="A112" s="1" t="s">
        <v>131</v>
      </c>
      <c r="B112" s="1" t="s">
        <v>109</v>
      </c>
      <c r="C112" s="1">
        <v>28.679786918886698</v>
      </c>
      <c r="D112" s="5">
        <v>33.963999999999999</v>
      </c>
      <c r="E112" s="4">
        <v>178.072928704367</v>
      </c>
      <c r="F112" s="4">
        <v>101.940780519801</v>
      </c>
      <c r="G112" s="1">
        <v>35</v>
      </c>
      <c r="H112" s="1">
        <v>16</v>
      </c>
      <c r="I112" s="7">
        <v>6</v>
      </c>
      <c r="J112" s="1">
        <v>7</v>
      </c>
      <c r="K112" s="1">
        <v>4</v>
      </c>
      <c r="L112" s="4">
        <v>8.8632876712328805</v>
      </c>
      <c r="M112" s="4">
        <v>1.0114285714285713</v>
      </c>
      <c r="N112" s="8">
        <v>480</v>
      </c>
      <c r="O112" s="8">
        <v>100</v>
      </c>
      <c r="P112" s="5">
        <v>0.87166666666666703</v>
      </c>
      <c r="Q112" s="5">
        <v>0.14733333333333301</v>
      </c>
      <c r="R112" s="1">
        <v>40</v>
      </c>
      <c r="S112" s="1">
        <v>56.042859999999997</v>
      </c>
      <c r="T112" s="1">
        <v>9.6509499999999999</v>
      </c>
      <c r="U112" s="1">
        <v>1</v>
      </c>
      <c r="V112" s="1">
        <v>1</v>
      </c>
      <c r="W112" s="4">
        <f t="shared" si="1"/>
        <v>-1.1428571428571344E-2</v>
      </c>
    </row>
    <row r="113" spans="1:23" x14ac:dyDescent="0.2">
      <c r="A113" s="1" t="s">
        <v>132</v>
      </c>
      <c r="B113" s="1" t="s">
        <v>109</v>
      </c>
      <c r="C113" s="1">
        <v>323.50715966383302</v>
      </c>
      <c r="D113" s="5">
        <v>17.016666666666701</v>
      </c>
      <c r="E113" s="4">
        <v>269.09565056714098</v>
      </c>
      <c r="F113" s="4">
        <v>3943.0460434757001</v>
      </c>
      <c r="G113" s="1">
        <v>25</v>
      </c>
      <c r="H113" s="1">
        <v>22</v>
      </c>
      <c r="I113" s="7">
        <v>7</v>
      </c>
      <c r="J113" s="1">
        <v>12</v>
      </c>
      <c r="K113" s="1">
        <v>2</v>
      </c>
      <c r="L113" s="4">
        <v>10.1874383561644</v>
      </c>
      <c r="M113" s="4">
        <v>1.0151285930408471</v>
      </c>
      <c r="N113" s="8">
        <v>190</v>
      </c>
      <c r="O113" s="8">
        <v>50</v>
      </c>
      <c r="P113" s="5">
        <v>0.92800000000000005</v>
      </c>
      <c r="Q113" s="5">
        <v>0.50249999999999995</v>
      </c>
      <c r="R113" s="1">
        <v>80</v>
      </c>
      <c r="S113" s="1">
        <v>54.874319999999997</v>
      </c>
      <c r="T113" s="1">
        <v>10.328749999999999</v>
      </c>
      <c r="U113" s="1">
        <v>1</v>
      </c>
      <c r="V113" s="1">
        <v>0</v>
      </c>
      <c r="W113" s="4">
        <f t="shared" si="1"/>
        <v>-1.5128593040847127E-2</v>
      </c>
    </row>
    <row r="114" spans="1:23" x14ac:dyDescent="0.2">
      <c r="A114" s="1" t="s">
        <v>133</v>
      </c>
      <c r="B114" s="1" t="s">
        <v>109</v>
      </c>
      <c r="C114" s="1">
        <v>40.388631646030802</v>
      </c>
      <c r="D114" s="5">
        <v>24.062000000000001</v>
      </c>
      <c r="E114" s="4">
        <v>49.315660885719304</v>
      </c>
      <c r="F114" s="4">
        <v>480.44409336154501</v>
      </c>
      <c r="G114" s="1">
        <v>10</v>
      </c>
      <c r="H114" s="1">
        <v>14</v>
      </c>
      <c r="I114" s="7">
        <v>7</v>
      </c>
      <c r="J114" s="1">
        <v>8</v>
      </c>
      <c r="K114" s="1">
        <v>3</v>
      </c>
      <c r="L114" s="4">
        <v>8.8632876712328805</v>
      </c>
      <c r="M114" s="4">
        <v>1.0143266475644699</v>
      </c>
      <c r="N114" s="8">
        <v>750</v>
      </c>
      <c r="O114" s="8">
        <v>120</v>
      </c>
      <c r="P114" s="5">
        <v>0.85099999999999998</v>
      </c>
      <c r="Q114" s="5">
        <v>0.21233333333333301</v>
      </c>
      <c r="R114" s="1">
        <v>0</v>
      </c>
      <c r="S114" s="1">
        <v>56.047409999999999</v>
      </c>
      <c r="T114" s="1">
        <v>9.6464800000000004</v>
      </c>
      <c r="U114" s="1">
        <v>1</v>
      </c>
      <c r="V114" s="1">
        <v>1</v>
      </c>
      <c r="W114" s="4">
        <f t="shared" si="1"/>
        <v>-1.4326647564469885E-2</v>
      </c>
    </row>
    <row r="115" spans="1:23" x14ac:dyDescent="0.2">
      <c r="A115" s="1" t="s">
        <v>134</v>
      </c>
      <c r="B115" s="1" t="s">
        <v>109</v>
      </c>
      <c r="C115" s="1">
        <v>54.4744822353967</v>
      </c>
      <c r="D115" s="5">
        <v>18.0825</v>
      </c>
      <c r="E115" s="4">
        <v>182.94324859415801</v>
      </c>
      <c r="F115" s="4">
        <v>1389.0319786029099</v>
      </c>
      <c r="G115" s="1">
        <v>35</v>
      </c>
      <c r="H115" s="1">
        <v>19</v>
      </c>
      <c r="I115" s="7">
        <v>7</v>
      </c>
      <c r="J115" s="1">
        <v>10</v>
      </c>
      <c r="K115" s="1">
        <v>6</v>
      </c>
      <c r="L115" s="4">
        <v>8.8632876712328805</v>
      </c>
      <c r="M115" s="4">
        <v>1.0143266475644699</v>
      </c>
      <c r="N115" s="8">
        <v>520</v>
      </c>
      <c r="O115" s="8">
        <v>110</v>
      </c>
      <c r="P115" s="5">
        <v>1.0629999999999999</v>
      </c>
      <c r="Q115" s="5">
        <v>0.23066666666666699</v>
      </c>
      <c r="R115" s="1">
        <v>30</v>
      </c>
      <c r="S115" s="1">
        <v>56.049190000000003</v>
      </c>
      <c r="T115" s="1">
        <v>9.6487599999999993</v>
      </c>
      <c r="U115" s="1">
        <v>1</v>
      </c>
      <c r="V115" s="1">
        <v>1</v>
      </c>
      <c r="W115" s="4">
        <f t="shared" si="1"/>
        <v>-1.4326647564469885E-2</v>
      </c>
    </row>
    <row r="116" spans="1:23" x14ac:dyDescent="0.2">
      <c r="A116" s="1" t="s">
        <v>135</v>
      </c>
      <c r="B116" s="1" t="s">
        <v>109</v>
      </c>
      <c r="C116" s="1">
        <v>32.8777292660386</v>
      </c>
      <c r="D116" s="5">
        <v>38.481999999999999</v>
      </c>
      <c r="E116" s="4">
        <v>22.247634595806499</v>
      </c>
      <c r="F116" s="4">
        <v>1341.0251996831801</v>
      </c>
      <c r="G116" s="1">
        <v>10</v>
      </c>
      <c r="H116" s="1">
        <v>11</v>
      </c>
      <c r="I116" s="7">
        <v>4</v>
      </c>
      <c r="J116" s="1">
        <v>9</v>
      </c>
      <c r="K116" s="1">
        <v>3</v>
      </c>
      <c r="L116" s="4">
        <v>8.8632876712328805</v>
      </c>
      <c r="M116" s="4">
        <v>1.0114285714285713</v>
      </c>
      <c r="N116" s="8">
        <v>3200</v>
      </c>
      <c r="O116" s="8">
        <v>170</v>
      </c>
      <c r="P116" s="5">
        <v>0.86133333333333295</v>
      </c>
      <c r="Q116" s="5">
        <v>0.14099999999999999</v>
      </c>
      <c r="R116" s="1">
        <v>65</v>
      </c>
      <c r="S116" s="1">
        <v>56.043520000000001</v>
      </c>
      <c r="T116" s="1">
        <v>9.6564499999999995</v>
      </c>
      <c r="U116" s="1">
        <v>0</v>
      </c>
      <c r="V116" s="1">
        <v>1</v>
      </c>
      <c r="W116" s="4">
        <f t="shared" si="1"/>
        <v>-1.1428571428571344E-2</v>
      </c>
    </row>
    <row r="117" spans="1:23" x14ac:dyDescent="0.2">
      <c r="A117" s="1" t="s">
        <v>136</v>
      </c>
      <c r="B117" s="1" t="s">
        <v>109</v>
      </c>
      <c r="C117" s="1">
        <v>120.077457328333</v>
      </c>
      <c r="D117" s="5">
        <v>26.263999999999999</v>
      </c>
      <c r="E117" s="4">
        <v>396.57137625220798</v>
      </c>
      <c r="F117" s="4">
        <v>1435.7958363385601</v>
      </c>
      <c r="G117" s="1">
        <v>35</v>
      </c>
      <c r="H117" s="1">
        <v>10</v>
      </c>
      <c r="I117" s="7">
        <v>6</v>
      </c>
      <c r="J117" s="1">
        <v>10</v>
      </c>
      <c r="K117" s="1">
        <v>2</v>
      </c>
      <c r="L117" s="4">
        <v>8.7382465753424707</v>
      </c>
      <c r="M117" s="4">
        <v>1.0521861777150916</v>
      </c>
      <c r="N117" s="8">
        <v>240</v>
      </c>
      <c r="O117" s="8">
        <v>140</v>
      </c>
      <c r="P117" s="5">
        <v>0.71333333333333304</v>
      </c>
      <c r="Q117" s="5">
        <v>0.23300000000000001</v>
      </c>
      <c r="R117" s="1">
        <v>95</v>
      </c>
      <c r="S117" s="1">
        <v>56.022860000000001</v>
      </c>
      <c r="T117" s="1">
        <v>9.6146899999999995</v>
      </c>
      <c r="U117" s="1">
        <v>1</v>
      </c>
      <c r="V117" s="1">
        <v>1</v>
      </c>
      <c r="W117" s="4">
        <f t="shared" si="1"/>
        <v>-5.2186177715091597E-2</v>
      </c>
    </row>
    <row r="118" spans="1:23" x14ac:dyDescent="0.2">
      <c r="A118" s="1" t="s">
        <v>137</v>
      </c>
      <c r="B118" s="1" t="s">
        <v>109</v>
      </c>
      <c r="C118" s="1">
        <v>18.616648184731801</v>
      </c>
      <c r="D118" s="5">
        <v>66.581999999999994</v>
      </c>
      <c r="E118" s="4">
        <v>2.82287047044011</v>
      </c>
      <c r="F118" s="4">
        <v>452.16656546381199</v>
      </c>
      <c r="G118" s="1">
        <v>50</v>
      </c>
      <c r="H118" s="1">
        <v>10</v>
      </c>
      <c r="I118" s="7">
        <v>4</v>
      </c>
      <c r="J118" s="1">
        <v>7</v>
      </c>
      <c r="K118" s="7">
        <v>2</v>
      </c>
      <c r="L118" s="4">
        <v>8.7382465753424707</v>
      </c>
      <c r="M118" s="4">
        <v>1.047752808988764</v>
      </c>
      <c r="N118" s="8">
        <v>490</v>
      </c>
      <c r="O118" s="8">
        <v>130</v>
      </c>
      <c r="P118" s="5">
        <v>0.85533333333333295</v>
      </c>
      <c r="Q118" s="5">
        <v>0.24633333333333299</v>
      </c>
      <c r="R118" s="1">
        <v>60</v>
      </c>
      <c r="S118" s="1">
        <v>56.021030000000003</v>
      </c>
      <c r="T118" s="1">
        <v>9.6035900000000005</v>
      </c>
      <c r="U118" s="1">
        <v>1</v>
      </c>
      <c r="V118" s="1">
        <v>1</v>
      </c>
      <c r="W118" s="4">
        <f t="shared" si="1"/>
        <v>-4.7752808988763995E-2</v>
      </c>
    </row>
    <row r="119" spans="1:23" x14ac:dyDescent="0.2">
      <c r="A119" s="1" t="s">
        <v>138</v>
      </c>
      <c r="B119" s="1" t="s">
        <v>109</v>
      </c>
      <c r="C119" s="1">
        <v>138.71160521224999</v>
      </c>
      <c r="D119" s="5">
        <v>9.3979999999999997</v>
      </c>
      <c r="E119" s="4">
        <v>554.03481975113402</v>
      </c>
      <c r="F119" s="4">
        <v>133.520555179214</v>
      </c>
      <c r="G119" s="1">
        <v>1</v>
      </c>
      <c r="H119" s="1">
        <v>16</v>
      </c>
      <c r="I119" s="7">
        <v>8</v>
      </c>
      <c r="J119" s="1">
        <v>8</v>
      </c>
      <c r="K119" s="1">
        <v>3</v>
      </c>
      <c r="L119" s="4">
        <v>10.1874383561644</v>
      </c>
      <c r="M119" s="4">
        <v>1.0104790419161678</v>
      </c>
      <c r="N119" s="8">
        <v>590</v>
      </c>
      <c r="O119" s="8">
        <v>80</v>
      </c>
      <c r="P119" s="5">
        <v>1.03666666666667</v>
      </c>
      <c r="Q119" s="5">
        <v>0.542333333333333</v>
      </c>
      <c r="R119" s="1">
        <v>90</v>
      </c>
      <c r="S119" s="1">
        <v>54.870570000000001</v>
      </c>
      <c r="T119" s="1">
        <v>10.336449999999999</v>
      </c>
      <c r="U119" s="1">
        <v>0</v>
      </c>
      <c r="V119" s="1">
        <v>1</v>
      </c>
      <c r="W119" s="4">
        <f t="shared" si="1"/>
        <v>-1.0479041916167775E-2</v>
      </c>
    </row>
    <row r="120" spans="1:23" x14ac:dyDescent="0.2">
      <c r="A120" s="1" t="s">
        <v>139</v>
      </c>
      <c r="B120" s="1" t="s">
        <v>109</v>
      </c>
      <c r="C120" s="1">
        <v>401.20697245349999</v>
      </c>
      <c r="D120" s="5">
        <v>222.1275</v>
      </c>
      <c r="E120" s="4">
        <v>698.029992084534</v>
      </c>
      <c r="F120" s="4">
        <v>669.441545383277</v>
      </c>
      <c r="G120" s="1">
        <v>1</v>
      </c>
      <c r="H120" s="1">
        <v>12</v>
      </c>
      <c r="I120" s="7">
        <v>7</v>
      </c>
      <c r="J120" s="1">
        <v>5</v>
      </c>
      <c r="K120" s="1">
        <v>3</v>
      </c>
      <c r="L120" s="4">
        <v>9.9657671232876694</v>
      </c>
      <c r="M120" s="4">
        <v>1.0150375939849625</v>
      </c>
      <c r="N120" s="8">
        <v>645</v>
      </c>
      <c r="O120" s="8">
        <v>60</v>
      </c>
      <c r="P120" s="5">
        <v>3.9503333333333299</v>
      </c>
      <c r="Q120" s="5">
        <v>0.913333333333333</v>
      </c>
      <c r="R120" s="1">
        <v>80</v>
      </c>
      <c r="S120" s="1">
        <v>54.865519999999997</v>
      </c>
      <c r="T120" s="1">
        <v>10.34834</v>
      </c>
      <c r="U120" s="1">
        <v>1</v>
      </c>
      <c r="V120" s="1">
        <v>1</v>
      </c>
      <c r="W120" s="4">
        <f t="shared" si="1"/>
        <v>-1.5037593984962516E-2</v>
      </c>
    </row>
    <row r="121" spans="1:23" x14ac:dyDescent="0.2">
      <c r="A121" s="1" t="s">
        <v>140</v>
      </c>
      <c r="B121" s="1" t="s">
        <v>141</v>
      </c>
      <c r="C121" s="1">
        <v>71.323607949285702</v>
      </c>
      <c r="D121" s="5">
        <v>26.38</v>
      </c>
      <c r="E121" s="4">
        <v>542.93403261752098</v>
      </c>
      <c r="F121" s="4">
        <v>183.489181</v>
      </c>
      <c r="G121" s="1">
        <v>80</v>
      </c>
      <c r="H121" s="1">
        <v>28</v>
      </c>
      <c r="I121" s="7">
        <v>7</v>
      </c>
      <c r="J121" s="1">
        <v>6</v>
      </c>
      <c r="K121" s="1">
        <v>4</v>
      </c>
      <c r="L121" s="4">
        <v>16.453917808219199</v>
      </c>
      <c r="M121" s="4">
        <v>0.44121915820029028</v>
      </c>
      <c r="N121" s="8">
        <v>24675.91</v>
      </c>
      <c r="O121" s="8">
        <v>20.8</v>
      </c>
      <c r="P121" s="5">
        <v>7.97</v>
      </c>
      <c r="Q121" s="5">
        <v>0.83799999999999997</v>
      </c>
      <c r="R121" s="1">
        <v>0</v>
      </c>
      <c r="S121" s="1">
        <v>42.397714000000001</v>
      </c>
      <c r="T121" s="1">
        <v>2.9071380000000002</v>
      </c>
      <c r="U121" s="1">
        <v>0</v>
      </c>
      <c r="V121" s="1">
        <v>0</v>
      </c>
      <c r="W121" s="4">
        <f t="shared" si="1"/>
        <v>0.55878084179970977</v>
      </c>
    </row>
    <row r="122" spans="1:23" x14ac:dyDescent="0.2">
      <c r="A122" s="1" t="s">
        <v>142</v>
      </c>
      <c r="B122" s="1" t="s">
        <v>141</v>
      </c>
      <c r="C122" s="1">
        <v>73.466683816666702</v>
      </c>
      <c r="D122" s="5">
        <v>14.925000000000001</v>
      </c>
      <c r="E122" s="4">
        <v>3177.5704976751899</v>
      </c>
      <c r="F122" s="4">
        <v>453.35171200000002</v>
      </c>
      <c r="G122" s="1">
        <v>80</v>
      </c>
      <c r="H122" s="1">
        <v>21</v>
      </c>
      <c r="I122" s="7">
        <v>11</v>
      </c>
      <c r="J122" s="1">
        <v>8</v>
      </c>
      <c r="K122" s="1">
        <v>4</v>
      </c>
      <c r="L122" s="4">
        <v>16.453917808219199</v>
      </c>
      <c r="M122" s="4">
        <v>0.43490909090909091</v>
      </c>
      <c r="N122" s="8">
        <v>2555.36</v>
      </c>
      <c r="O122" s="8">
        <v>36.4</v>
      </c>
      <c r="P122" s="5">
        <v>2.68</v>
      </c>
      <c r="Q122" s="5">
        <v>7.4999999999999997E-2</v>
      </c>
      <c r="R122" s="1">
        <v>0</v>
      </c>
      <c r="S122" s="1">
        <v>42.396951999999999</v>
      </c>
      <c r="T122" s="1">
        <v>2.979768</v>
      </c>
      <c r="U122" s="1">
        <v>0</v>
      </c>
      <c r="V122" s="1">
        <v>0</v>
      </c>
      <c r="W122" s="4">
        <f t="shared" si="1"/>
        <v>0.56509090909090909</v>
      </c>
    </row>
    <row r="123" spans="1:23" x14ac:dyDescent="0.2">
      <c r="A123" s="1" t="s">
        <v>143</v>
      </c>
      <c r="B123" s="1" t="s">
        <v>141</v>
      </c>
      <c r="C123" s="1">
        <v>11.168585058928601</v>
      </c>
      <c r="D123" s="5">
        <v>17.766999999999999</v>
      </c>
      <c r="E123" s="4">
        <v>171.86534834168799</v>
      </c>
      <c r="F123" s="4">
        <v>748.09816999999998</v>
      </c>
      <c r="G123" s="1">
        <v>80</v>
      </c>
      <c r="H123" s="1">
        <v>20</v>
      </c>
      <c r="I123" s="7">
        <v>11</v>
      </c>
      <c r="J123" s="1">
        <v>9</v>
      </c>
      <c r="K123" s="1">
        <v>6</v>
      </c>
      <c r="L123" s="4">
        <v>16.419794520547899</v>
      </c>
      <c r="M123" s="4">
        <v>0.42166064981949458</v>
      </c>
      <c r="N123" s="8">
        <v>11646.89</v>
      </c>
      <c r="O123" s="8">
        <v>24.2</v>
      </c>
      <c r="P123" s="5">
        <v>2.3660000000000001</v>
      </c>
      <c r="Q123" s="5">
        <v>7.5999999999999998E-2</v>
      </c>
      <c r="R123" s="1">
        <v>0</v>
      </c>
      <c r="S123" s="1">
        <v>42.373035999999999</v>
      </c>
      <c r="T123" s="1">
        <v>2.950593</v>
      </c>
      <c r="U123" s="1">
        <v>0</v>
      </c>
      <c r="V123" s="1">
        <v>0</v>
      </c>
      <c r="W123" s="4">
        <f t="shared" si="1"/>
        <v>0.57833935018050542</v>
      </c>
    </row>
    <row r="124" spans="1:23" x14ac:dyDescent="0.2">
      <c r="A124" s="1" t="s">
        <v>144</v>
      </c>
      <c r="B124" s="1" t="s">
        <v>141</v>
      </c>
      <c r="C124" s="1">
        <v>107.609572525</v>
      </c>
      <c r="D124" s="5">
        <v>21.8</v>
      </c>
      <c r="E124" s="4">
        <v>2799.11680027579</v>
      </c>
      <c r="F124" s="4">
        <v>660.54337399999997</v>
      </c>
      <c r="G124" s="1">
        <v>80</v>
      </c>
      <c r="H124" s="1">
        <v>23</v>
      </c>
      <c r="I124" s="7">
        <v>13</v>
      </c>
      <c r="J124" s="1">
        <v>10</v>
      </c>
      <c r="K124" s="1">
        <v>4</v>
      </c>
      <c r="L124" s="4">
        <v>16.453917808219199</v>
      </c>
      <c r="M124" s="4">
        <v>0.43239334779464933</v>
      </c>
      <c r="N124" s="8">
        <v>13465.72</v>
      </c>
      <c r="O124" s="8">
        <v>55.3</v>
      </c>
      <c r="P124" s="5">
        <v>2.2349999999999999</v>
      </c>
      <c r="Q124" s="5">
        <v>0.122</v>
      </c>
      <c r="R124" s="1">
        <v>0</v>
      </c>
      <c r="S124" s="1">
        <v>42.379075</v>
      </c>
      <c r="T124" s="1">
        <v>2.9588709999999998</v>
      </c>
      <c r="U124" s="1">
        <v>0</v>
      </c>
      <c r="V124" s="1">
        <v>0</v>
      </c>
      <c r="W124" s="4">
        <f t="shared" si="1"/>
        <v>0.56760665220535067</v>
      </c>
    </row>
    <row r="125" spans="1:23" x14ac:dyDescent="0.2">
      <c r="A125" s="1" t="s">
        <v>145</v>
      </c>
      <c r="B125" s="1" t="s">
        <v>141</v>
      </c>
      <c r="C125" s="1">
        <v>425.94797886333299</v>
      </c>
      <c r="D125" s="5">
        <v>18.260000000000002</v>
      </c>
      <c r="E125" s="4">
        <v>254.80964490858099</v>
      </c>
      <c r="F125" s="4">
        <v>1369.3227999999999</v>
      </c>
      <c r="G125" s="1">
        <v>80</v>
      </c>
      <c r="H125" s="1">
        <v>20</v>
      </c>
      <c r="I125" s="7">
        <v>10</v>
      </c>
      <c r="J125" s="1">
        <v>7</v>
      </c>
      <c r="K125" s="7">
        <v>1</v>
      </c>
      <c r="L125" s="4">
        <v>16.453917808219199</v>
      </c>
      <c r="M125" s="4">
        <v>0.42990654205607476</v>
      </c>
      <c r="N125" s="8">
        <v>11455.29</v>
      </c>
      <c r="O125" s="8">
        <v>44.1</v>
      </c>
      <c r="P125" s="5">
        <v>4.1970000000000001</v>
      </c>
      <c r="Q125" s="5">
        <v>0.77100000000000002</v>
      </c>
      <c r="R125" s="1">
        <v>0</v>
      </c>
      <c r="S125" s="1">
        <v>42.381861000000001</v>
      </c>
      <c r="T125" s="1">
        <v>2.9831940000000001</v>
      </c>
      <c r="U125" s="1">
        <v>0</v>
      </c>
      <c r="V125" s="1">
        <v>0</v>
      </c>
      <c r="W125" s="4">
        <f t="shared" si="1"/>
        <v>0.57009345794392519</v>
      </c>
    </row>
    <row r="126" spans="1:23" x14ac:dyDescent="0.2">
      <c r="A126" s="1" t="s">
        <v>146</v>
      </c>
      <c r="B126" s="1" t="s">
        <v>141</v>
      </c>
      <c r="C126" s="1">
        <v>222.76017549214299</v>
      </c>
      <c r="D126" s="5">
        <v>24.08</v>
      </c>
      <c r="E126" s="4">
        <v>897.63816736504702</v>
      </c>
      <c r="F126" s="4">
        <v>372.61220800000001</v>
      </c>
      <c r="G126" s="1">
        <v>80</v>
      </c>
      <c r="H126" s="1">
        <v>19</v>
      </c>
      <c r="I126" s="7">
        <v>11</v>
      </c>
      <c r="J126" s="1">
        <v>7</v>
      </c>
      <c r="K126" s="1">
        <v>4</v>
      </c>
      <c r="L126" s="4">
        <v>16.453917808219199</v>
      </c>
      <c r="M126" s="4">
        <v>0.43690736688548504</v>
      </c>
      <c r="N126" s="8">
        <v>11128.87</v>
      </c>
      <c r="O126" s="8">
        <v>25</v>
      </c>
      <c r="P126" s="5">
        <v>2.734</v>
      </c>
      <c r="Q126" s="5">
        <v>7.9000000000000001E-2</v>
      </c>
      <c r="R126" s="1">
        <v>0</v>
      </c>
      <c r="S126" s="1">
        <v>42.398274999999998</v>
      </c>
      <c r="T126" s="1">
        <v>2.9287619999999999</v>
      </c>
      <c r="U126" s="1">
        <v>0</v>
      </c>
      <c r="V126" s="1">
        <v>0</v>
      </c>
      <c r="W126" s="4">
        <f t="shared" si="1"/>
        <v>0.56309263311451496</v>
      </c>
    </row>
    <row r="127" spans="1:23" x14ac:dyDescent="0.2">
      <c r="A127" s="1" t="s">
        <v>147</v>
      </c>
      <c r="B127" s="1" t="s">
        <v>141</v>
      </c>
      <c r="C127" s="1">
        <v>98.4472917949048</v>
      </c>
      <c r="D127" s="5">
        <v>6.7649999999999997</v>
      </c>
      <c r="E127" s="4">
        <v>159.75177851239701</v>
      </c>
      <c r="F127" s="4">
        <v>194.53376499999999</v>
      </c>
      <c r="G127" s="1">
        <v>40</v>
      </c>
      <c r="H127" s="1">
        <v>15</v>
      </c>
      <c r="I127" s="7">
        <v>4</v>
      </c>
      <c r="J127" s="1">
        <v>7</v>
      </c>
      <c r="K127" s="1">
        <v>8</v>
      </c>
      <c r="L127" s="4">
        <v>13.0012191780822</v>
      </c>
      <c r="M127" s="4">
        <v>0.5509293680297398</v>
      </c>
      <c r="N127" s="8">
        <v>176.62</v>
      </c>
      <c r="O127" s="8">
        <v>32.700000000000003</v>
      </c>
      <c r="P127" s="5">
        <v>0.79849999999999999</v>
      </c>
      <c r="Q127" s="5">
        <v>4.1500000000000002E-2</v>
      </c>
      <c r="R127" s="1">
        <v>0</v>
      </c>
      <c r="S127" s="1">
        <v>41.961359000000002</v>
      </c>
      <c r="T127" s="1">
        <v>2.3520729999999999</v>
      </c>
      <c r="U127" s="1">
        <v>0</v>
      </c>
      <c r="V127" s="1">
        <v>0</v>
      </c>
      <c r="W127" s="4">
        <f t="shared" si="1"/>
        <v>0.4490706319702602</v>
      </c>
    </row>
    <row r="128" spans="1:23" x14ac:dyDescent="0.2">
      <c r="A128" s="1" t="s">
        <v>148</v>
      </c>
      <c r="B128" s="1" t="s">
        <v>141</v>
      </c>
      <c r="C128" s="1">
        <v>1623.3508379504301</v>
      </c>
      <c r="D128" s="5">
        <v>82.087666666666706</v>
      </c>
      <c r="E128" s="4">
        <v>88.315768892003206</v>
      </c>
      <c r="F128" s="4">
        <v>2943.0061529999998</v>
      </c>
      <c r="G128" s="1">
        <v>40</v>
      </c>
      <c r="H128" s="1">
        <v>7</v>
      </c>
      <c r="I128" s="7">
        <v>6</v>
      </c>
      <c r="J128" s="1">
        <v>11</v>
      </c>
      <c r="K128" s="1">
        <v>5</v>
      </c>
      <c r="L128" s="4">
        <v>13.0012191780822</v>
      </c>
      <c r="M128" s="4">
        <v>0.5575620767494357</v>
      </c>
      <c r="N128" s="8">
        <v>366.92</v>
      </c>
      <c r="O128" s="8">
        <v>35.200000000000003</v>
      </c>
      <c r="P128" s="5">
        <v>1.6643333333333299</v>
      </c>
      <c r="Q128" s="5">
        <v>0.13466666666666699</v>
      </c>
      <c r="R128" s="1">
        <v>85</v>
      </c>
      <c r="S128" s="1">
        <v>41.961379000000001</v>
      </c>
      <c r="T128" s="1">
        <v>2.3673799999999998</v>
      </c>
      <c r="U128" s="1">
        <v>0</v>
      </c>
      <c r="V128" s="1">
        <v>0</v>
      </c>
      <c r="W128" s="4">
        <f t="shared" si="1"/>
        <v>0.4424379232505643</v>
      </c>
    </row>
    <row r="129" spans="1:23" x14ac:dyDescent="0.2">
      <c r="A129" s="1" t="s">
        <v>149</v>
      </c>
      <c r="B129" s="1" t="s">
        <v>141</v>
      </c>
      <c r="C129" s="1">
        <v>884.94319007624995</v>
      </c>
      <c r="D129" s="5">
        <v>65.101666666666702</v>
      </c>
      <c r="E129" s="4">
        <v>102.22783540054699</v>
      </c>
      <c r="F129" s="4">
        <v>930.49170300000003</v>
      </c>
      <c r="G129" s="1">
        <v>80</v>
      </c>
      <c r="H129" s="1">
        <v>12</v>
      </c>
      <c r="I129" s="7">
        <v>5</v>
      </c>
      <c r="J129" s="1">
        <v>10</v>
      </c>
      <c r="K129" s="1">
        <v>1</v>
      </c>
      <c r="L129" s="4">
        <v>13.0012191780822</v>
      </c>
      <c r="M129" s="4">
        <v>0.55381165919282516</v>
      </c>
      <c r="N129" s="8">
        <v>324.83999999999997</v>
      </c>
      <c r="O129" s="8">
        <v>22.7</v>
      </c>
      <c r="P129" s="5">
        <v>2.6626666666666701</v>
      </c>
      <c r="Q129" s="5">
        <v>0.17933333333333301</v>
      </c>
      <c r="R129" s="1">
        <v>50</v>
      </c>
      <c r="S129" s="1">
        <v>41.963700000000003</v>
      </c>
      <c r="T129" s="1">
        <v>2.3627500000000001</v>
      </c>
      <c r="U129" s="1">
        <v>1</v>
      </c>
      <c r="V129" s="1">
        <v>0</v>
      </c>
      <c r="W129" s="4">
        <f t="shared" si="1"/>
        <v>0.44618834080717484</v>
      </c>
    </row>
    <row r="130" spans="1:23" x14ac:dyDescent="0.2">
      <c r="A130" s="1" t="s">
        <v>150</v>
      </c>
      <c r="B130" s="1" t="s">
        <v>141</v>
      </c>
      <c r="C130" s="1">
        <v>303.54101100525003</v>
      </c>
      <c r="D130" s="5">
        <v>14.742333333333301</v>
      </c>
      <c r="E130" s="4">
        <v>24.161262309462298</v>
      </c>
      <c r="F130" s="4">
        <v>2664.6171319999999</v>
      </c>
      <c r="G130" s="1">
        <v>20</v>
      </c>
      <c r="H130" s="1">
        <v>11</v>
      </c>
      <c r="I130" s="7">
        <v>4</v>
      </c>
      <c r="J130" s="1">
        <v>7</v>
      </c>
      <c r="K130" s="1">
        <v>6</v>
      </c>
      <c r="L130" s="4">
        <v>13.0012191780822</v>
      </c>
      <c r="M130" s="4">
        <v>0.55011135857461024</v>
      </c>
      <c r="N130" s="8">
        <v>128.52000000000001</v>
      </c>
      <c r="O130" s="8">
        <v>56.2</v>
      </c>
      <c r="P130" s="5">
        <v>0.97466666666666701</v>
      </c>
      <c r="Q130" s="5">
        <v>4.6333333333333303E-2</v>
      </c>
      <c r="R130" s="1">
        <v>0</v>
      </c>
      <c r="S130" s="1">
        <v>41.968110000000003</v>
      </c>
      <c r="T130" s="1">
        <v>2.3743300000000001</v>
      </c>
      <c r="U130" s="1">
        <v>0</v>
      </c>
      <c r="V130" s="1">
        <v>0</v>
      </c>
      <c r="W130" s="4">
        <f t="shared" ref="W130:W193" si="2">1-M130</f>
        <v>0.44988864142538976</v>
      </c>
    </row>
    <row r="131" spans="1:23" x14ac:dyDescent="0.2">
      <c r="A131" s="1" t="s">
        <v>151</v>
      </c>
      <c r="B131" s="1" t="s">
        <v>141</v>
      </c>
      <c r="C131" s="1">
        <v>1092.14171636336</v>
      </c>
      <c r="D131" s="5">
        <v>194.12</v>
      </c>
      <c r="E131" s="4">
        <v>162.05822272845299</v>
      </c>
      <c r="F131" s="4">
        <v>8033.0037700000003</v>
      </c>
      <c r="G131" s="1">
        <v>60</v>
      </c>
      <c r="H131" s="1">
        <v>13</v>
      </c>
      <c r="I131" s="7">
        <v>5</v>
      </c>
      <c r="J131" s="1">
        <v>9</v>
      </c>
      <c r="K131" s="1">
        <v>6</v>
      </c>
      <c r="L131" s="4">
        <v>13.3922739726027</v>
      </c>
      <c r="M131" s="4">
        <v>0.56981132075471697</v>
      </c>
      <c r="N131" s="8">
        <v>248.35</v>
      </c>
      <c r="O131" s="8">
        <v>34.299999999999997</v>
      </c>
      <c r="P131" s="5">
        <v>4.9359999999999999</v>
      </c>
      <c r="Q131" s="5">
        <v>0.30299999999999999</v>
      </c>
      <c r="R131" s="1">
        <v>40</v>
      </c>
      <c r="S131" s="1">
        <v>41.963472000000003</v>
      </c>
      <c r="T131" s="1">
        <v>2.375213</v>
      </c>
      <c r="U131" s="1">
        <v>0</v>
      </c>
      <c r="V131" s="1">
        <v>0</v>
      </c>
      <c r="W131" s="4">
        <f t="shared" si="2"/>
        <v>0.43018867924528303</v>
      </c>
    </row>
    <row r="132" spans="1:23" x14ac:dyDescent="0.2">
      <c r="A132" s="1" t="s">
        <v>152</v>
      </c>
      <c r="B132" s="1" t="s">
        <v>141</v>
      </c>
      <c r="C132" s="1">
        <v>841.97538879224999</v>
      </c>
      <c r="D132" s="5">
        <v>66.349000000000004</v>
      </c>
      <c r="E132" s="4">
        <v>80.138493344670707</v>
      </c>
      <c r="F132" s="4">
        <v>2176.1743350000002</v>
      </c>
      <c r="G132" s="1">
        <v>20</v>
      </c>
      <c r="H132" s="1">
        <v>10</v>
      </c>
      <c r="I132" s="7">
        <v>4</v>
      </c>
      <c r="J132" s="1">
        <v>9</v>
      </c>
      <c r="K132" s="1">
        <v>3</v>
      </c>
      <c r="L132" s="4">
        <v>13.0012191780822</v>
      </c>
      <c r="M132" s="4">
        <v>0.5575620767494357</v>
      </c>
      <c r="N132" s="8">
        <v>55.04</v>
      </c>
      <c r="O132" s="8">
        <v>42.6</v>
      </c>
      <c r="P132" s="5">
        <v>2.8113333333333301</v>
      </c>
      <c r="Q132" s="5">
        <v>0.109</v>
      </c>
      <c r="R132" s="1">
        <v>10</v>
      </c>
      <c r="S132" s="1">
        <v>41.958503999999998</v>
      </c>
      <c r="T132" s="1">
        <v>2.3689078000000001</v>
      </c>
      <c r="U132" s="1">
        <v>0</v>
      </c>
      <c r="V132" s="1">
        <v>0</v>
      </c>
      <c r="W132" s="4">
        <f t="shared" si="2"/>
        <v>0.4424379232505643</v>
      </c>
    </row>
    <row r="133" spans="1:23" x14ac:dyDescent="0.2">
      <c r="A133" s="1" t="s">
        <v>153</v>
      </c>
      <c r="B133" s="1" t="s">
        <v>141</v>
      </c>
      <c r="C133" s="1">
        <v>5.4445933273750002</v>
      </c>
      <c r="D133" s="5">
        <v>8.5299999999999994</v>
      </c>
      <c r="E133" s="4">
        <v>81.704944243765397</v>
      </c>
      <c r="F133" s="4">
        <v>147.20296300000001</v>
      </c>
      <c r="G133" s="1">
        <v>20</v>
      </c>
      <c r="H133" s="1">
        <v>8</v>
      </c>
      <c r="I133" s="7">
        <v>5</v>
      </c>
      <c r="J133" s="1">
        <v>3</v>
      </c>
      <c r="K133" s="1">
        <v>7</v>
      </c>
      <c r="L133" s="4">
        <v>15.8970547945205</v>
      </c>
      <c r="M133" s="4">
        <v>0.57480916030534346</v>
      </c>
      <c r="N133" s="8">
        <v>565.29</v>
      </c>
      <c r="O133" s="8">
        <v>76.400000000000006</v>
      </c>
      <c r="P133" s="5">
        <v>0.68899999999999995</v>
      </c>
      <c r="Q133" s="5">
        <v>2.1999999999999999E-2</v>
      </c>
      <c r="R133" s="1">
        <v>0</v>
      </c>
      <c r="S133" s="1">
        <v>41.828848000000001</v>
      </c>
      <c r="T133" s="1">
        <v>2.718302</v>
      </c>
      <c r="U133" s="1">
        <v>1</v>
      </c>
      <c r="V133" s="1">
        <v>0</v>
      </c>
      <c r="W133" s="4">
        <f t="shared" si="2"/>
        <v>0.42519083969465654</v>
      </c>
    </row>
    <row r="134" spans="1:23" x14ac:dyDescent="0.2">
      <c r="A134" s="1" t="s">
        <v>154</v>
      </c>
      <c r="B134" s="1" t="s">
        <v>141</v>
      </c>
      <c r="C134" s="1">
        <v>529.38183507983297</v>
      </c>
      <c r="D134" s="5">
        <v>19.279</v>
      </c>
      <c r="E134" s="4">
        <v>14.9847741635738</v>
      </c>
      <c r="F134" s="4">
        <v>36.441417999999999</v>
      </c>
      <c r="G134" s="1">
        <v>20</v>
      </c>
      <c r="H134" s="1">
        <v>8</v>
      </c>
      <c r="I134" s="7">
        <v>5</v>
      </c>
      <c r="J134" s="1">
        <v>5</v>
      </c>
      <c r="K134" s="1">
        <v>3</v>
      </c>
      <c r="L134" s="4">
        <v>15.8970547945205</v>
      </c>
      <c r="M134" s="4">
        <v>0.59219586840091809</v>
      </c>
      <c r="N134" s="8">
        <v>56.16</v>
      </c>
      <c r="O134" s="8">
        <v>106.9</v>
      </c>
      <c r="P134" s="5">
        <v>1.3156666666666701</v>
      </c>
      <c r="Q134" s="5">
        <v>0.109</v>
      </c>
      <c r="R134" s="1">
        <v>50</v>
      </c>
      <c r="S134" s="1">
        <v>41.812626999999999</v>
      </c>
      <c r="T134" s="1">
        <v>2.7008429999999999</v>
      </c>
      <c r="U134" s="1">
        <v>1</v>
      </c>
      <c r="V134" s="1">
        <v>0</v>
      </c>
      <c r="W134" s="4">
        <f t="shared" si="2"/>
        <v>0.40780413159908191</v>
      </c>
    </row>
    <row r="135" spans="1:23" x14ac:dyDescent="0.2">
      <c r="A135" s="1" t="s">
        <v>155</v>
      </c>
      <c r="B135" s="1" t="s">
        <v>141</v>
      </c>
      <c r="C135" s="1">
        <v>171.52076219937501</v>
      </c>
      <c r="D135" s="5">
        <v>29.795000000000002</v>
      </c>
      <c r="E135" s="4">
        <v>103.70132895274099</v>
      </c>
      <c r="F135" s="4">
        <v>8.4228120000000004</v>
      </c>
      <c r="G135" s="1">
        <v>20</v>
      </c>
      <c r="H135" s="1">
        <v>9</v>
      </c>
      <c r="I135" s="7">
        <v>6</v>
      </c>
      <c r="J135" s="1">
        <v>4</v>
      </c>
      <c r="K135" s="1">
        <v>1</v>
      </c>
      <c r="L135" s="4">
        <v>15.8970547945205</v>
      </c>
      <c r="M135" s="4">
        <v>0.60200153964588143</v>
      </c>
      <c r="N135" s="8">
        <v>1402.71</v>
      </c>
      <c r="O135" s="8">
        <v>84.3</v>
      </c>
      <c r="P135" s="5">
        <v>0.77033333333333298</v>
      </c>
      <c r="Q135" s="5">
        <v>4.3999999999999997E-2</v>
      </c>
      <c r="R135" s="1">
        <v>95</v>
      </c>
      <c r="S135" s="1">
        <v>41.835918999999997</v>
      </c>
      <c r="T135" s="1">
        <v>2.6991260000000001</v>
      </c>
      <c r="U135" s="1">
        <v>1</v>
      </c>
      <c r="V135" s="1">
        <v>1</v>
      </c>
      <c r="W135" s="4">
        <f t="shared" si="2"/>
        <v>0.39799846035411857</v>
      </c>
    </row>
    <row r="136" spans="1:23" x14ac:dyDescent="0.2">
      <c r="A136" s="1" t="s">
        <v>156</v>
      </c>
      <c r="B136" s="1" t="s">
        <v>141</v>
      </c>
      <c r="C136" s="1">
        <v>169.56530149599999</v>
      </c>
      <c r="D136" s="5">
        <v>27.737666666666701</v>
      </c>
      <c r="E136" s="4">
        <v>61.146930308779702</v>
      </c>
      <c r="F136" s="4">
        <v>3.7320769999999999</v>
      </c>
      <c r="G136" s="1">
        <v>1</v>
      </c>
      <c r="H136" s="1">
        <v>6</v>
      </c>
      <c r="I136" s="7">
        <v>5</v>
      </c>
      <c r="J136" s="1">
        <v>2</v>
      </c>
      <c r="K136" s="1">
        <v>1</v>
      </c>
      <c r="L136" s="4">
        <v>15.8970547945205</v>
      </c>
      <c r="M136" s="4">
        <v>0.57437070938215107</v>
      </c>
      <c r="N136" s="8">
        <v>307.7</v>
      </c>
      <c r="O136" s="8">
        <v>80.400000000000006</v>
      </c>
      <c r="P136" s="5">
        <v>1.2606666666666699</v>
      </c>
      <c r="Q136" s="5">
        <v>6.7333333333333301E-2</v>
      </c>
      <c r="R136" s="1">
        <v>0</v>
      </c>
      <c r="S136" s="1">
        <v>41.819409</v>
      </c>
      <c r="T136" s="1">
        <v>2.7249150000000002</v>
      </c>
      <c r="U136" s="1">
        <v>1</v>
      </c>
      <c r="V136" s="1">
        <v>0</v>
      </c>
      <c r="W136" s="4">
        <f t="shared" si="2"/>
        <v>0.42562929061784893</v>
      </c>
    </row>
    <row r="137" spans="1:23" x14ac:dyDescent="0.2">
      <c r="A137" s="1" t="s">
        <v>157</v>
      </c>
      <c r="B137" s="1" t="s">
        <v>141</v>
      </c>
      <c r="C137" s="1">
        <v>2438.9258260042898</v>
      </c>
      <c r="D137" s="5">
        <v>36.773666666666699</v>
      </c>
      <c r="E137" s="4">
        <v>1642.81733958838</v>
      </c>
      <c r="F137" s="4">
        <v>146.72560200000001</v>
      </c>
      <c r="G137" s="1">
        <v>60</v>
      </c>
      <c r="H137" s="1">
        <v>10</v>
      </c>
      <c r="I137" s="7">
        <v>4</v>
      </c>
      <c r="J137" s="1">
        <v>6</v>
      </c>
      <c r="K137" s="1">
        <v>3</v>
      </c>
      <c r="L137" s="4">
        <v>15.8970547945205</v>
      </c>
      <c r="M137" s="4">
        <v>0.59083969465648856</v>
      </c>
      <c r="N137" s="8">
        <v>101.3</v>
      </c>
      <c r="O137" s="8">
        <v>66.3</v>
      </c>
      <c r="P137" s="5">
        <v>2.8386666666666698</v>
      </c>
      <c r="Q137" s="5">
        <v>0.53233333333333299</v>
      </c>
      <c r="R137" s="1">
        <v>20</v>
      </c>
      <c r="S137" s="1">
        <v>41.8184532</v>
      </c>
      <c r="T137" s="1">
        <v>2.7015890499999999</v>
      </c>
      <c r="U137" s="1">
        <v>1</v>
      </c>
      <c r="V137" s="1">
        <v>1</v>
      </c>
      <c r="W137" s="4">
        <f t="shared" si="2"/>
        <v>0.40916030534351144</v>
      </c>
    </row>
    <row r="138" spans="1:23" x14ac:dyDescent="0.2">
      <c r="A138" s="1" t="s">
        <v>158</v>
      </c>
      <c r="B138" s="1" t="s">
        <v>141</v>
      </c>
      <c r="C138" s="1">
        <v>195.1729665204</v>
      </c>
      <c r="D138" s="5">
        <v>98.842333333333301</v>
      </c>
      <c r="E138" s="4">
        <v>579.08332422426099</v>
      </c>
      <c r="F138" s="4">
        <v>132.298112</v>
      </c>
      <c r="G138" s="1">
        <v>20</v>
      </c>
      <c r="H138" s="1">
        <v>13</v>
      </c>
      <c r="I138" s="7">
        <v>4</v>
      </c>
      <c r="J138" s="1">
        <v>2</v>
      </c>
      <c r="K138" s="1">
        <v>1</v>
      </c>
      <c r="L138" s="4">
        <v>15.8970547945205</v>
      </c>
      <c r="M138" s="4">
        <v>0.57701149425287357</v>
      </c>
      <c r="N138" s="8">
        <v>215.3</v>
      </c>
      <c r="O138" s="8">
        <v>119.9</v>
      </c>
      <c r="P138" s="5">
        <v>0.93200000000000005</v>
      </c>
      <c r="Q138" s="5">
        <v>7.3999999999999996E-2</v>
      </c>
      <c r="R138" s="1">
        <v>85</v>
      </c>
      <c r="S138" s="1">
        <v>41.810645999999998</v>
      </c>
      <c r="T138" s="1">
        <v>2.7088350000000001</v>
      </c>
      <c r="U138" s="1">
        <v>0</v>
      </c>
      <c r="V138" s="1">
        <v>1</v>
      </c>
      <c r="W138" s="4">
        <f t="shared" si="2"/>
        <v>0.42298850574712643</v>
      </c>
    </row>
    <row r="139" spans="1:23" x14ac:dyDescent="0.2">
      <c r="A139" s="1" t="s">
        <v>159</v>
      </c>
      <c r="B139" s="1" t="s">
        <v>141</v>
      </c>
      <c r="C139" s="1">
        <v>1000.5225987145</v>
      </c>
      <c r="D139" s="5">
        <v>51.697333333333297</v>
      </c>
      <c r="E139" s="4">
        <v>404.34903597797802</v>
      </c>
      <c r="F139" s="4">
        <v>556.42605800000001</v>
      </c>
      <c r="G139" s="1">
        <v>1</v>
      </c>
      <c r="H139" s="1">
        <v>6</v>
      </c>
      <c r="I139" s="7">
        <v>4</v>
      </c>
      <c r="J139" s="1">
        <v>4</v>
      </c>
      <c r="K139" s="1">
        <v>7</v>
      </c>
      <c r="L139" s="4">
        <v>12.408410958904099</v>
      </c>
      <c r="M139" s="4">
        <v>0.58980213089802136</v>
      </c>
      <c r="N139" s="8">
        <v>114.39</v>
      </c>
      <c r="O139" s="8">
        <v>25.1</v>
      </c>
      <c r="P139" s="5">
        <v>1.4570000000000001</v>
      </c>
      <c r="Q139" s="5">
        <v>0.113666666666667</v>
      </c>
      <c r="R139" s="1">
        <v>0</v>
      </c>
      <c r="S139" s="1">
        <v>42.258741299999997</v>
      </c>
      <c r="T139" s="1">
        <v>2.51817</v>
      </c>
      <c r="U139" s="1">
        <v>0</v>
      </c>
      <c r="V139" s="1">
        <v>0</v>
      </c>
      <c r="W139" s="4">
        <f t="shared" si="2"/>
        <v>0.41019786910197864</v>
      </c>
    </row>
    <row r="140" spans="1:23" x14ac:dyDescent="0.2">
      <c r="A140" s="1" t="s">
        <v>160</v>
      </c>
      <c r="B140" s="1" t="s">
        <v>141</v>
      </c>
      <c r="C140" s="1">
        <v>1414.7622807499999</v>
      </c>
      <c r="D140" s="5">
        <v>4.7876666666666701</v>
      </c>
      <c r="E140" s="4">
        <v>3590.5189612890599</v>
      </c>
      <c r="F140" s="4">
        <v>5134.6219330000004</v>
      </c>
      <c r="G140" s="1">
        <v>60</v>
      </c>
      <c r="H140" s="1">
        <v>14</v>
      </c>
      <c r="I140" s="7">
        <v>4</v>
      </c>
      <c r="J140" s="1">
        <v>8</v>
      </c>
      <c r="K140" s="1">
        <v>7</v>
      </c>
      <c r="L140" s="4">
        <v>12.408410958904099</v>
      </c>
      <c r="M140" s="4">
        <v>0.60311284046692604</v>
      </c>
      <c r="N140" s="8">
        <v>116.61</v>
      </c>
      <c r="O140" s="8">
        <v>30.7</v>
      </c>
      <c r="P140" s="5">
        <v>5.2069999999999999</v>
      </c>
      <c r="Q140" s="5">
        <v>5.7333333333333299E-2</v>
      </c>
      <c r="R140" s="1">
        <v>35</v>
      </c>
      <c r="S140" s="1">
        <v>42.289885400000003</v>
      </c>
      <c r="T140" s="1">
        <v>2.5140633000000001</v>
      </c>
      <c r="U140" s="1">
        <v>0</v>
      </c>
      <c r="V140" s="1">
        <v>0</v>
      </c>
      <c r="W140" s="4">
        <f t="shared" si="2"/>
        <v>0.39688715953307396</v>
      </c>
    </row>
    <row r="141" spans="1:23" x14ac:dyDescent="0.2">
      <c r="A141" s="1" t="s">
        <v>161</v>
      </c>
      <c r="B141" s="1" t="s">
        <v>141</v>
      </c>
      <c r="C141" s="1">
        <v>517.35503673699998</v>
      </c>
      <c r="D141" s="5">
        <v>39.055333333333301</v>
      </c>
      <c r="E141" s="4">
        <v>4561.3220539362501</v>
      </c>
      <c r="F141" s="4">
        <v>3881.8107409999998</v>
      </c>
      <c r="G141" s="1">
        <v>20</v>
      </c>
      <c r="H141" s="1">
        <v>10</v>
      </c>
      <c r="I141" s="7">
        <v>3</v>
      </c>
      <c r="J141" s="1">
        <v>5</v>
      </c>
      <c r="K141" s="1">
        <v>3</v>
      </c>
      <c r="L141" s="4">
        <v>12.408410958904099</v>
      </c>
      <c r="M141" s="4">
        <v>0.60546875</v>
      </c>
      <c r="N141" s="8">
        <v>86.05</v>
      </c>
      <c r="O141" s="8">
        <v>34.9</v>
      </c>
      <c r="P141" s="5">
        <v>2.4</v>
      </c>
      <c r="Q141" s="5">
        <v>7.0333333333333303E-2</v>
      </c>
      <c r="R141" s="1">
        <v>0</v>
      </c>
      <c r="S141" s="1">
        <v>42.284456599999999</v>
      </c>
      <c r="T141" s="1">
        <v>2.5013695999999999</v>
      </c>
      <c r="U141" s="1">
        <v>0</v>
      </c>
      <c r="V141" s="1">
        <v>0</v>
      </c>
      <c r="W141" s="4">
        <f t="shared" si="2"/>
        <v>0.39453125</v>
      </c>
    </row>
    <row r="142" spans="1:23" x14ac:dyDescent="0.2">
      <c r="A142" s="1" t="s">
        <v>162</v>
      </c>
      <c r="B142" s="1" t="s">
        <v>141</v>
      </c>
      <c r="C142" s="1">
        <v>330.58856895700001</v>
      </c>
      <c r="D142" s="5">
        <v>12.9</v>
      </c>
      <c r="E142" s="4">
        <v>7986.19956143131</v>
      </c>
      <c r="F142" s="4">
        <v>2221.7515579999999</v>
      </c>
      <c r="G142" s="1">
        <v>40</v>
      </c>
      <c r="H142" s="1">
        <v>7</v>
      </c>
      <c r="I142" s="7">
        <v>3</v>
      </c>
      <c r="J142" s="1">
        <v>6</v>
      </c>
      <c r="K142" s="1">
        <v>1</v>
      </c>
      <c r="L142" s="4">
        <v>12.408410958904099</v>
      </c>
      <c r="M142" s="4">
        <v>0.6262705238467553</v>
      </c>
      <c r="N142" s="8">
        <v>84.39</v>
      </c>
      <c r="O142" s="8">
        <v>27</v>
      </c>
      <c r="P142" s="5">
        <v>2.4209999999999998</v>
      </c>
      <c r="Q142" s="5">
        <v>8.8999999999999996E-2</v>
      </c>
      <c r="R142" s="1">
        <v>0</v>
      </c>
      <c r="S142" s="1">
        <v>42.288726799999999</v>
      </c>
      <c r="T142" s="1">
        <v>2.4980609999999999</v>
      </c>
      <c r="U142" s="1">
        <v>0</v>
      </c>
      <c r="V142" s="1">
        <v>0</v>
      </c>
      <c r="W142" s="4">
        <f t="shared" si="2"/>
        <v>0.3737294761532447</v>
      </c>
    </row>
    <row r="143" spans="1:23" x14ac:dyDescent="0.2">
      <c r="A143" s="1" t="s">
        <v>163</v>
      </c>
      <c r="B143" s="1" t="s">
        <v>141</v>
      </c>
      <c r="C143" s="1">
        <v>362.6213647605</v>
      </c>
      <c r="D143" s="5">
        <v>22.613</v>
      </c>
      <c r="E143" s="4">
        <v>636.69332441997699</v>
      </c>
      <c r="F143" s="4">
        <v>2540.7288090000002</v>
      </c>
      <c r="G143" s="1">
        <v>40</v>
      </c>
      <c r="H143" s="1">
        <v>10</v>
      </c>
      <c r="I143" s="7">
        <v>5</v>
      </c>
      <c r="J143" s="1">
        <v>3</v>
      </c>
      <c r="K143" s="1">
        <v>5</v>
      </c>
      <c r="L143" s="4">
        <v>12.408410958904099</v>
      </c>
      <c r="M143" s="4">
        <v>0.596612779060816</v>
      </c>
      <c r="N143" s="8">
        <v>95.42</v>
      </c>
      <c r="O143" s="8">
        <v>18.399999999999999</v>
      </c>
      <c r="P143" s="5">
        <v>0.97650000000000003</v>
      </c>
      <c r="Q143" s="5">
        <v>0.10299999999999999</v>
      </c>
      <c r="R143" s="1">
        <v>0</v>
      </c>
      <c r="S143" s="1">
        <v>42.276232</v>
      </c>
      <c r="T143" s="1">
        <v>2.5099721000000002</v>
      </c>
      <c r="U143" s="1">
        <v>0</v>
      </c>
      <c r="V143" s="1">
        <v>0</v>
      </c>
      <c r="W143" s="4">
        <f t="shared" si="2"/>
        <v>0.403387220939184</v>
      </c>
    </row>
    <row r="144" spans="1:23" x14ac:dyDescent="0.2">
      <c r="A144" s="1" t="s">
        <v>164</v>
      </c>
      <c r="B144" s="1" t="s">
        <v>141</v>
      </c>
      <c r="C144" s="1">
        <v>456.400102337833</v>
      </c>
      <c r="D144" s="5">
        <v>19.120999999999999</v>
      </c>
      <c r="E144" s="4">
        <v>509.794524888463</v>
      </c>
      <c r="F144" s="4">
        <v>19.011385000000001</v>
      </c>
      <c r="G144" s="1">
        <v>40</v>
      </c>
      <c r="H144" s="1">
        <v>12</v>
      </c>
      <c r="I144" s="7">
        <v>4</v>
      </c>
      <c r="J144" s="1">
        <v>4</v>
      </c>
      <c r="K144" s="1">
        <v>5</v>
      </c>
      <c r="L144" s="4">
        <v>12.408410958904099</v>
      </c>
      <c r="M144" s="4">
        <v>0.57240333586050041</v>
      </c>
      <c r="N144" s="8">
        <v>157.47999999999999</v>
      </c>
      <c r="O144" s="8">
        <v>19.2</v>
      </c>
      <c r="P144" s="5">
        <v>1.6719999999999999</v>
      </c>
      <c r="Q144" s="5">
        <v>0.187</v>
      </c>
      <c r="R144" s="1">
        <v>0</v>
      </c>
      <c r="S144" s="1">
        <v>42.267927999999998</v>
      </c>
      <c r="T144" s="1">
        <v>2.5564293</v>
      </c>
      <c r="U144" s="1">
        <v>0</v>
      </c>
      <c r="V144" s="1">
        <v>0</v>
      </c>
      <c r="W144" s="4">
        <f t="shared" si="2"/>
        <v>0.42759666413949959</v>
      </c>
    </row>
    <row r="145" spans="1:23" x14ac:dyDescent="0.2">
      <c r="A145" s="1" t="s">
        <v>165</v>
      </c>
      <c r="B145" s="1" t="s">
        <v>141</v>
      </c>
      <c r="C145" s="1">
        <v>107.102578545</v>
      </c>
      <c r="D145" s="5">
        <v>13.45</v>
      </c>
      <c r="E145" s="4">
        <v>1464.3666676596999</v>
      </c>
      <c r="F145" s="4">
        <v>170.165143</v>
      </c>
      <c r="G145" s="1">
        <v>80</v>
      </c>
      <c r="H145" s="1">
        <v>14</v>
      </c>
      <c r="I145" s="7">
        <v>6</v>
      </c>
      <c r="J145" s="1">
        <v>9</v>
      </c>
      <c r="K145" s="1">
        <v>6</v>
      </c>
      <c r="L145" s="4">
        <v>16.952616438356198</v>
      </c>
      <c r="M145" s="4">
        <v>0.52990797546012269</v>
      </c>
      <c r="N145" s="8">
        <v>1205.68</v>
      </c>
      <c r="O145" s="8">
        <v>21.5</v>
      </c>
      <c r="P145" s="5">
        <v>1.0609999999999999</v>
      </c>
      <c r="Q145" s="5">
        <v>3.1E-2</v>
      </c>
      <c r="R145" s="1">
        <v>100</v>
      </c>
      <c r="S145" s="1">
        <v>41.835895000000001</v>
      </c>
      <c r="T145" s="1">
        <v>2.9220700000000002</v>
      </c>
      <c r="U145" s="1">
        <v>1</v>
      </c>
      <c r="V145" s="1">
        <v>0</v>
      </c>
      <c r="W145" s="4">
        <f t="shared" si="2"/>
        <v>0.47009202453987731</v>
      </c>
    </row>
    <row r="146" spans="1:23" x14ac:dyDescent="0.2">
      <c r="A146" s="1" t="s">
        <v>166</v>
      </c>
      <c r="B146" s="1" t="s">
        <v>141</v>
      </c>
      <c r="C146" s="1">
        <v>147.80721677612499</v>
      </c>
      <c r="D146" s="5">
        <v>117.636666666667</v>
      </c>
      <c r="E146" s="4">
        <v>858.51711857277701</v>
      </c>
      <c r="F146" s="4">
        <v>1061.3112550000001</v>
      </c>
      <c r="G146" s="1">
        <v>20</v>
      </c>
      <c r="H146" s="1">
        <v>13</v>
      </c>
      <c r="I146" s="7">
        <v>6</v>
      </c>
      <c r="J146" s="1">
        <v>5</v>
      </c>
      <c r="K146" s="1">
        <v>5</v>
      </c>
      <c r="L146" s="4">
        <v>16.952616438356198</v>
      </c>
      <c r="M146" s="4">
        <v>0.53940321346595255</v>
      </c>
      <c r="N146" s="8">
        <v>65.42</v>
      </c>
      <c r="O146" s="8">
        <v>76.599999999999994</v>
      </c>
      <c r="P146" s="5">
        <v>4.0709999999999997</v>
      </c>
      <c r="Q146" s="5">
        <v>0.23833333333333301</v>
      </c>
      <c r="R146" s="1">
        <v>75</v>
      </c>
      <c r="S146" s="1">
        <v>41.842303999999999</v>
      </c>
      <c r="T146" s="1">
        <v>2.8775539999999999</v>
      </c>
      <c r="U146" s="1">
        <v>1</v>
      </c>
      <c r="V146" s="1">
        <v>0</v>
      </c>
      <c r="W146" s="4">
        <f t="shared" si="2"/>
        <v>0.46059678653404745</v>
      </c>
    </row>
    <row r="147" spans="1:23" x14ac:dyDescent="0.2">
      <c r="A147" s="1" t="s">
        <v>167</v>
      </c>
      <c r="B147" s="1" t="s">
        <v>141</v>
      </c>
      <c r="C147" s="1">
        <v>136.099057235</v>
      </c>
      <c r="D147" s="5">
        <v>30.574999999999999</v>
      </c>
      <c r="E147" s="4">
        <v>630.37385409901799</v>
      </c>
      <c r="F147" s="4">
        <v>1112.657373</v>
      </c>
      <c r="G147" s="1">
        <v>80</v>
      </c>
      <c r="H147" s="1">
        <v>13</v>
      </c>
      <c r="I147" s="7">
        <v>8</v>
      </c>
      <c r="J147" s="1">
        <v>7</v>
      </c>
      <c r="K147" s="1">
        <v>6</v>
      </c>
      <c r="L147" s="4">
        <v>16.952616438356198</v>
      </c>
      <c r="M147" s="4">
        <v>0.54064417177914115</v>
      </c>
      <c r="N147" s="8">
        <v>504.42</v>
      </c>
      <c r="O147" s="8">
        <v>19.7</v>
      </c>
      <c r="P147" s="5">
        <v>1.667</v>
      </c>
      <c r="Q147" s="5">
        <v>6.5000000000000002E-2</v>
      </c>
      <c r="R147" s="1">
        <v>50</v>
      </c>
      <c r="S147" s="1">
        <v>41.869686999999999</v>
      </c>
      <c r="T147" s="1">
        <v>2.895044</v>
      </c>
      <c r="U147" s="1">
        <v>0</v>
      </c>
      <c r="V147" s="1">
        <v>0</v>
      </c>
      <c r="W147" s="4">
        <f t="shared" si="2"/>
        <v>0.45935582822085885</v>
      </c>
    </row>
    <row r="148" spans="1:23" x14ac:dyDescent="0.2">
      <c r="A148" s="1" t="s">
        <v>168</v>
      </c>
      <c r="B148" s="1" t="s">
        <v>141</v>
      </c>
      <c r="C148" s="1">
        <v>147.07781109575001</v>
      </c>
      <c r="D148" s="5">
        <v>152.815666666667</v>
      </c>
      <c r="E148" s="4">
        <v>1401.6404344851401</v>
      </c>
      <c r="F148" s="4">
        <v>870.93860199999995</v>
      </c>
      <c r="G148" s="1">
        <v>20</v>
      </c>
      <c r="H148" s="1">
        <v>17</v>
      </c>
      <c r="I148" s="7">
        <v>4</v>
      </c>
      <c r="J148" s="1">
        <v>7</v>
      </c>
      <c r="K148" s="1">
        <v>7</v>
      </c>
      <c r="L148" s="4">
        <v>16.952616438356198</v>
      </c>
      <c r="M148" s="4">
        <v>0.52788388082505733</v>
      </c>
      <c r="N148" s="8">
        <v>551.9</v>
      </c>
      <c r="O148" s="8">
        <v>125.6</v>
      </c>
      <c r="P148" s="5">
        <v>1.58633333333333</v>
      </c>
      <c r="Q148" s="5">
        <v>0.11600000000000001</v>
      </c>
      <c r="R148" s="1">
        <v>0</v>
      </c>
      <c r="S148" s="1">
        <v>41.866190000000003</v>
      </c>
      <c r="T148" s="1">
        <v>2.9172229999999999</v>
      </c>
      <c r="U148" s="1">
        <v>0</v>
      </c>
      <c r="V148" s="1">
        <v>0</v>
      </c>
      <c r="W148" s="4">
        <f t="shared" si="2"/>
        <v>0.47211611917494267</v>
      </c>
    </row>
    <row r="149" spans="1:23" x14ac:dyDescent="0.2">
      <c r="A149" s="1" t="s">
        <v>169</v>
      </c>
      <c r="B149" s="1" t="s">
        <v>141</v>
      </c>
      <c r="C149" s="1">
        <v>283.78124299125</v>
      </c>
      <c r="D149" s="5">
        <v>34.912666666666702</v>
      </c>
      <c r="E149" s="4">
        <v>1827.3247975020799</v>
      </c>
      <c r="F149" s="4">
        <v>2381.2223359999998</v>
      </c>
      <c r="G149" s="1">
        <v>20</v>
      </c>
      <c r="H149" s="1">
        <v>13</v>
      </c>
      <c r="I149" s="7">
        <v>5</v>
      </c>
      <c r="J149" s="1">
        <v>8</v>
      </c>
      <c r="K149" s="1">
        <v>4</v>
      </c>
      <c r="L149" s="4">
        <v>16.952616438356198</v>
      </c>
      <c r="M149" s="4">
        <v>0.5286916602907421</v>
      </c>
      <c r="N149" s="8">
        <v>126.42</v>
      </c>
      <c r="O149" s="8">
        <v>147.5</v>
      </c>
      <c r="P149" s="5">
        <v>1.1846666666666701</v>
      </c>
      <c r="Q149" s="5">
        <v>0.154</v>
      </c>
      <c r="R149" s="1">
        <v>60</v>
      </c>
      <c r="S149" s="1">
        <v>41.873516000000002</v>
      </c>
      <c r="T149" s="1">
        <v>2.9331830000000001</v>
      </c>
      <c r="U149" s="1">
        <v>0</v>
      </c>
      <c r="V149" s="1">
        <v>0</v>
      </c>
      <c r="W149" s="4">
        <f t="shared" si="2"/>
        <v>0.4713083397092579</v>
      </c>
    </row>
    <row r="150" spans="1:23" x14ac:dyDescent="0.2">
      <c r="A150" s="1" t="s">
        <v>170</v>
      </c>
      <c r="B150" s="1" t="s">
        <v>141</v>
      </c>
      <c r="C150" s="1">
        <v>15.537105267333301</v>
      </c>
      <c r="D150" s="5">
        <v>14.48</v>
      </c>
      <c r="E150" s="4">
        <v>175.20618017359601</v>
      </c>
      <c r="F150" s="4">
        <v>683.90721499999995</v>
      </c>
      <c r="G150" s="1">
        <v>80</v>
      </c>
      <c r="H150" s="1">
        <v>15</v>
      </c>
      <c r="I150" s="7">
        <v>6</v>
      </c>
      <c r="J150" s="1">
        <v>7</v>
      </c>
      <c r="K150" s="1">
        <v>5</v>
      </c>
      <c r="L150" s="4">
        <v>16.952616438356198</v>
      </c>
      <c r="M150" s="4">
        <v>0.53940321346595255</v>
      </c>
      <c r="N150" s="8">
        <v>99.4</v>
      </c>
      <c r="O150" s="8">
        <v>26</v>
      </c>
      <c r="P150" s="5">
        <v>1.5660000000000001</v>
      </c>
      <c r="Q150" s="5">
        <v>4.2000000000000003E-2</v>
      </c>
      <c r="R150" s="1">
        <v>0</v>
      </c>
      <c r="S150" s="1">
        <v>41.865467000000002</v>
      </c>
      <c r="T150" s="1">
        <v>2.8946200000000002</v>
      </c>
      <c r="U150" s="1">
        <v>0</v>
      </c>
      <c r="V150" s="1">
        <v>0</v>
      </c>
      <c r="W150" s="4">
        <f t="shared" si="2"/>
        <v>0.46059678653404745</v>
      </c>
    </row>
    <row r="151" spans="1:23" x14ac:dyDescent="0.2">
      <c r="A151" s="1" t="s">
        <v>171</v>
      </c>
      <c r="B151" s="1" t="s">
        <v>172</v>
      </c>
      <c r="D151" s="5">
        <v>4.3899999999999997</v>
      </c>
      <c r="E151" s="4">
        <v>58.170284673698703</v>
      </c>
      <c r="F151" s="6">
        <v>3156.1165594021199</v>
      </c>
      <c r="G151" s="1">
        <v>97.5</v>
      </c>
      <c r="H151" s="1">
        <v>2</v>
      </c>
      <c r="I151" s="7">
        <v>5</v>
      </c>
      <c r="J151" s="1">
        <v>9</v>
      </c>
      <c r="K151" s="1">
        <v>7</v>
      </c>
      <c r="L151" s="4">
        <v>11.4023150684932</v>
      </c>
      <c r="M151" s="4">
        <v>0.3133514986376022</v>
      </c>
      <c r="N151" s="8">
        <v>12.9</v>
      </c>
      <c r="O151" s="8">
        <v>80</v>
      </c>
      <c r="P151" s="5">
        <v>0.42499999999999999</v>
      </c>
      <c r="Q151" s="5">
        <v>0.06</v>
      </c>
      <c r="R151" s="1">
        <v>32</v>
      </c>
      <c r="S151" s="1">
        <v>40.212940000000003</v>
      </c>
      <c r="T151" s="1">
        <v>32.719320000000003</v>
      </c>
      <c r="U151" s="1">
        <v>1</v>
      </c>
      <c r="V151" s="1">
        <v>0</v>
      </c>
      <c r="W151" s="4">
        <f t="shared" si="2"/>
        <v>0.68664850136239775</v>
      </c>
    </row>
    <row r="152" spans="1:23" x14ac:dyDescent="0.2">
      <c r="A152" s="1" t="s">
        <v>173</v>
      </c>
      <c r="B152" s="1" t="s">
        <v>172</v>
      </c>
      <c r="C152" s="1">
        <v>1045.54524700667</v>
      </c>
      <c r="D152" s="5">
        <v>177.01499999999999</v>
      </c>
      <c r="E152" s="4">
        <v>81.846973468239497</v>
      </c>
      <c r="F152" s="6">
        <v>1146.5130568490099</v>
      </c>
      <c r="G152" s="1">
        <v>33.5</v>
      </c>
      <c r="H152" s="1">
        <v>4</v>
      </c>
      <c r="I152" s="7">
        <v>5</v>
      </c>
      <c r="J152" s="1">
        <v>4</v>
      </c>
      <c r="K152" s="1">
        <v>2</v>
      </c>
      <c r="L152" s="4">
        <v>11.4023150684932</v>
      </c>
      <c r="M152" s="4">
        <v>0.29491525423728815</v>
      </c>
      <c r="N152" s="8">
        <v>3922</v>
      </c>
      <c r="O152" s="8">
        <v>400</v>
      </c>
      <c r="P152" s="5">
        <v>3.2825000000000002</v>
      </c>
      <c r="Q152" s="5">
        <v>0.51166666666666705</v>
      </c>
      <c r="R152" s="1">
        <v>37</v>
      </c>
      <c r="S152" s="1">
        <v>40.14302</v>
      </c>
      <c r="T152" s="1">
        <v>32.634500000000003</v>
      </c>
      <c r="U152" s="1">
        <v>1</v>
      </c>
      <c r="V152" s="1">
        <v>1</v>
      </c>
      <c r="W152" s="4">
        <f t="shared" si="2"/>
        <v>0.70508474576271185</v>
      </c>
    </row>
    <row r="153" spans="1:23" x14ac:dyDescent="0.2">
      <c r="A153" s="1" t="s">
        <v>174</v>
      </c>
      <c r="B153" s="1" t="s">
        <v>172</v>
      </c>
      <c r="C153" s="1">
        <v>903.55950176766703</v>
      </c>
      <c r="D153" s="5">
        <v>81.040000000000006</v>
      </c>
      <c r="E153" s="4">
        <v>232.044723808935</v>
      </c>
      <c r="F153" s="6">
        <v>540.49623218748695</v>
      </c>
      <c r="G153" s="1">
        <v>1</v>
      </c>
      <c r="H153" s="1">
        <v>1</v>
      </c>
      <c r="I153" s="7">
        <v>5</v>
      </c>
      <c r="J153" s="1">
        <v>5</v>
      </c>
      <c r="K153" s="1">
        <v>1</v>
      </c>
      <c r="L153" s="4">
        <v>11.4023150684932</v>
      </c>
      <c r="M153" s="4">
        <v>0.29511533242876525</v>
      </c>
      <c r="N153" s="8">
        <v>10000</v>
      </c>
      <c r="O153" s="8">
        <v>330</v>
      </c>
      <c r="P153" s="5">
        <v>3.0566666666666702</v>
      </c>
      <c r="Q153" s="5">
        <v>0.50666666666666704</v>
      </c>
      <c r="R153" s="1">
        <v>30</v>
      </c>
      <c r="S153" s="1">
        <v>40.125720000000001</v>
      </c>
      <c r="T153" s="1">
        <v>32.628740000000001</v>
      </c>
      <c r="U153" s="1">
        <v>1</v>
      </c>
      <c r="V153" s="1">
        <v>1</v>
      </c>
      <c r="W153" s="4">
        <f t="shared" si="2"/>
        <v>0.7048846675712348</v>
      </c>
    </row>
    <row r="154" spans="1:23" x14ac:dyDescent="0.2">
      <c r="A154" s="1" t="s">
        <v>175</v>
      </c>
      <c r="B154" s="1" t="s">
        <v>172</v>
      </c>
      <c r="C154" s="1">
        <v>29.6232585705833</v>
      </c>
      <c r="D154" s="5">
        <v>8.0566666666666702</v>
      </c>
      <c r="E154" s="4">
        <v>335.29206902918901</v>
      </c>
      <c r="F154" s="6">
        <v>214.18135374527401</v>
      </c>
      <c r="G154" s="1">
        <v>16.600000000000001</v>
      </c>
      <c r="H154" s="1">
        <v>4</v>
      </c>
      <c r="I154" s="7">
        <v>7</v>
      </c>
      <c r="J154" s="1">
        <v>3</v>
      </c>
      <c r="K154" s="1">
        <v>4</v>
      </c>
      <c r="L154" s="4">
        <v>10.9915342465753</v>
      </c>
      <c r="M154" s="4">
        <v>0.315644383184011</v>
      </c>
      <c r="N154" s="8">
        <v>1120</v>
      </c>
      <c r="O154" s="8">
        <v>180</v>
      </c>
      <c r="P154" s="5">
        <v>1.2466666666666699</v>
      </c>
      <c r="Q154" s="5">
        <v>0.24966666666666701</v>
      </c>
      <c r="R154" s="1">
        <v>85</v>
      </c>
      <c r="S154" s="1">
        <v>40.235379999999999</v>
      </c>
      <c r="T154" s="1">
        <v>32.32985</v>
      </c>
      <c r="U154" s="1">
        <v>0</v>
      </c>
      <c r="V154" s="1">
        <v>1</v>
      </c>
      <c r="W154" s="4">
        <f t="shared" si="2"/>
        <v>0.684355616815989</v>
      </c>
    </row>
    <row r="155" spans="1:23" x14ac:dyDescent="0.2">
      <c r="A155" s="1" t="s">
        <v>176</v>
      </c>
      <c r="B155" s="1" t="s">
        <v>172</v>
      </c>
      <c r="C155" s="1">
        <v>530.16799544816695</v>
      </c>
      <c r="D155" s="5">
        <v>59.256666666666703</v>
      </c>
      <c r="E155" s="4">
        <v>402.17209306606799</v>
      </c>
      <c r="F155" s="6">
        <v>13657.0489226348</v>
      </c>
      <c r="G155" s="1">
        <v>11.66</v>
      </c>
      <c r="H155" s="1">
        <v>2</v>
      </c>
      <c r="I155" s="7">
        <v>4</v>
      </c>
      <c r="J155" s="1">
        <v>5</v>
      </c>
      <c r="K155" s="1">
        <v>5</v>
      </c>
      <c r="L155" s="4">
        <v>10.9915342465753</v>
      </c>
      <c r="M155" s="4">
        <v>0.30503795721187027</v>
      </c>
      <c r="N155" s="8">
        <v>2000</v>
      </c>
      <c r="O155" s="8">
        <v>480</v>
      </c>
      <c r="P155" s="5">
        <v>2.46</v>
      </c>
      <c r="Q155" s="5">
        <v>0.23833333333333301</v>
      </c>
      <c r="R155" s="1">
        <v>65</v>
      </c>
      <c r="S155" s="1">
        <v>40.230339999999998</v>
      </c>
      <c r="T155" s="1">
        <v>32.286679999999997</v>
      </c>
      <c r="U155" s="1">
        <v>1</v>
      </c>
      <c r="V155" s="1">
        <v>1</v>
      </c>
      <c r="W155" s="4">
        <f t="shared" si="2"/>
        <v>0.69496204278812979</v>
      </c>
    </row>
    <row r="156" spans="1:23" x14ac:dyDescent="0.2">
      <c r="A156" s="1" t="s">
        <v>177</v>
      </c>
      <c r="B156" s="1" t="s">
        <v>172</v>
      </c>
      <c r="C156" s="1">
        <v>229.97989743666699</v>
      </c>
      <c r="D156" s="5">
        <v>65.161666666666704</v>
      </c>
      <c r="E156" s="4">
        <v>62.362694201917797</v>
      </c>
      <c r="F156" s="6">
        <v>2163.8370621947001</v>
      </c>
      <c r="G156" s="1">
        <v>41.66</v>
      </c>
      <c r="H156" s="1">
        <v>3</v>
      </c>
      <c r="I156" s="7">
        <v>6</v>
      </c>
      <c r="J156" s="1">
        <v>4</v>
      </c>
      <c r="K156" s="7">
        <v>7</v>
      </c>
      <c r="L156" s="4">
        <v>10.9915342465753</v>
      </c>
      <c r="M156" s="4">
        <v>0.31434454358270419</v>
      </c>
      <c r="N156" s="8">
        <v>1000</v>
      </c>
      <c r="O156" s="8">
        <v>180</v>
      </c>
      <c r="P156" s="5">
        <v>2.56</v>
      </c>
      <c r="Q156" s="5">
        <v>0.266666666666667</v>
      </c>
      <c r="R156" s="1">
        <v>50</v>
      </c>
      <c r="S156" s="1">
        <v>40.237679999999997</v>
      </c>
      <c r="T156" s="1">
        <v>32.318080000000002</v>
      </c>
      <c r="U156" s="1">
        <v>1</v>
      </c>
      <c r="V156" s="1">
        <v>1</v>
      </c>
      <c r="W156" s="4">
        <f t="shared" si="2"/>
        <v>0.68565545641729586</v>
      </c>
    </row>
    <row r="157" spans="1:23" x14ac:dyDescent="0.2">
      <c r="A157" s="1" t="s">
        <v>178</v>
      </c>
      <c r="B157" s="1" t="s">
        <v>172</v>
      </c>
      <c r="C157" s="1">
        <v>0.79038013333333301</v>
      </c>
      <c r="D157" s="5">
        <v>2.74</v>
      </c>
      <c r="E157" s="4">
        <v>159.86812571399699</v>
      </c>
      <c r="F157" s="6">
        <v>7.3442568473112901</v>
      </c>
      <c r="G157" s="1">
        <v>45.83</v>
      </c>
      <c r="H157" s="1">
        <v>1</v>
      </c>
      <c r="I157" s="7">
        <v>8</v>
      </c>
      <c r="J157" s="1">
        <v>2</v>
      </c>
      <c r="K157" s="1">
        <v>4</v>
      </c>
      <c r="L157" s="4">
        <v>10.9915342465753</v>
      </c>
      <c r="M157" s="4">
        <v>0.30332409972299168</v>
      </c>
      <c r="N157" s="8">
        <v>300</v>
      </c>
      <c r="O157" s="8">
        <v>100</v>
      </c>
      <c r="P157" s="5">
        <v>0.59499999999999997</v>
      </c>
      <c r="Q157" s="5">
        <v>0.12</v>
      </c>
      <c r="R157" s="1">
        <v>30</v>
      </c>
      <c r="S157" s="1">
        <v>40.168390000000002</v>
      </c>
      <c r="T157" s="1">
        <v>32.237360000000002</v>
      </c>
      <c r="U157" s="1">
        <v>1</v>
      </c>
      <c r="V157" s="1">
        <v>0</v>
      </c>
      <c r="W157" s="4">
        <f t="shared" si="2"/>
        <v>0.69667590027700832</v>
      </c>
    </row>
    <row r="158" spans="1:23" x14ac:dyDescent="0.2">
      <c r="A158" s="1" t="s">
        <v>179</v>
      </c>
      <c r="B158" s="1" t="s">
        <v>172</v>
      </c>
      <c r="C158" s="1">
        <v>188.51069873500001</v>
      </c>
      <c r="D158" s="5">
        <v>16.112500000000001</v>
      </c>
      <c r="E158" s="4">
        <v>33.019213860780901</v>
      </c>
      <c r="F158" s="6">
        <v>207.956044720422</v>
      </c>
      <c r="G158" s="1">
        <v>20</v>
      </c>
      <c r="H158" s="1">
        <v>5</v>
      </c>
      <c r="I158" s="7">
        <v>5</v>
      </c>
      <c r="J158" s="1">
        <v>7</v>
      </c>
      <c r="K158" s="1">
        <v>3</v>
      </c>
      <c r="L158" s="4">
        <v>10.9915342465753</v>
      </c>
      <c r="M158" s="4">
        <v>0.30332409972299168</v>
      </c>
      <c r="N158" s="8">
        <v>100</v>
      </c>
      <c r="O158" s="8">
        <v>100</v>
      </c>
      <c r="P158" s="5">
        <v>0.89</v>
      </c>
      <c r="Q158" s="5">
        <v>0.435</v>
      </c>
      <c r="R158" s="1">
        <v>39</v>
      </c>
      <c r="S158" s="1">
        <v>40.169060000000002</v>
      </c>
      <c r="T158" s="1">
        <v>32.240029999999997</v>
      </c>
      <c r="U158" s="1">
        <v>0</v>
      </c>
      <c r="V158" s="1">
        <v>0</v>
      </c>
      <c r="W158" s="4">
        <f t="shared" si="2"/>
        <v>0.69667590027700832</v>
      </c>
    </row>
    <row r="159" spans="1:23" x14ac:dyDescent="0.2">
      <c r="A159" s="1" t="s">
        <v>180</v>
      </c>
      <c r="B159" s="1" t="s">
        <v>172</v>
      </c>
      <c r="C159" s="1">
        <v>30.075966401999999</v>
      </c>
      <c r="D159" s="5">
        <v>96.924999999999997</v>
      </c>
      <c r="E159" s="4">
        <v>173.74076191695701</v>
      </c>
      <c r="F159" s="6">
        <v>55.430927344136599</v>
      </c>
      <c r="G159" s="1">
        <v>1</v>
      </c>
      <c r="H159" s="1">
        <v>3</v>
      </c>
      <c r="I159" s="7">
        <v>13</v>
      </c>
      <c r="J159" s="1">
        <v>4</v>
      </c>
      <c r="K159" s="1">
        <v>2</v>
      </c>
      <c r="L159" s="4">
        <v>10.9915342465753</v>
      </c>
      <c r="M159" s="4">
        <v>0.31237042156185213</v>
      </c>
      <c r="N159" s="8">
        <v>200</v>
      </c>
      <c r="O159" s="8">
        <v>80</v>
      </c>
      <c r="P159" s="5">
        <v>1.7749999999999999</v>
      </c>
      <c r="Q159" s="5">
        <v>2.2802500000000001</v>
      </c>
      <c r="R159" s="1">
        <v>50</v>
      </c>
      <c r="S159" s="1">
        <v>40.167560000000002</v>
      </c>
      <c r="T159" s="1">
        <v>32.25112</v>
      </c>
      <c r="U159" s="1">
        <v>0</v>
      </c>
      <c r="V159" s="1">
        <v>0</v>
      </c>
      <c r="W159" s="4">
        <f t="shared" si="2"/>
        <v>0.68762957843814787</v>
      </c>
    </row>
    <row r="160" spans="1:23" x14ac:dyDescent="0.2">
      <c r="A160" s="1" t="s">
        <v>181</v>
      </c>
      <c r="B160" s="1" t="s">
        <v>172</v>
      </c>
      <c r="C160" s="1">
        <v>931.32583144133298</v>
      </c>
      <c r="D160" s="5">
        <v>149.73500000000001</v>
      </c>
      <c r="E160" s="4">
        <v>1.7558984004131699</v>
      </c>
      <c r="F160" s="6">
        <v>202.09225756091001</v>
      </c>
      <c r="G160" s="1">
        <v>22</v>
      </c>
      <c r="H160" s="1">
        <v>1</v>
      </c>
      <c r="I160" s="7">
        <v>5</v>
      </c>
      <c r="J160" s="1">
        <v>4</v>
      </c>
      <c r="K160" s="1">
        <v>2</v>
      </c>
      <c r="L160" s="4">
        <v>10.9915342465753</v>
      </c>
      <c r="M160" s="4">
        <v>0.31715652768284347</v>
      </c>
      <c r="N160" s="8">
        <v>500</v>
      </c>
      <c r="O160" s="8">
        <v>50</v>
      </c>
      <c r="P160" s="5">
        <v>1.1483333333333301</v>
      </c>
      <c r="Q160" s="5">
        <v>0.27663333333333301</v>
      </c>
      <c r="R160" s="1">
        <v>1</v>
      </c>
      <c r="S160" s="1">
        <v>40.268079999999998</v>
      </c>
      <c r="T160" s="1">
        <v>32.338099999999997</v>
      </c>
      <c r="U160" s="1">
        <v>1</v>
      </c>
      <c r="V160" s="1">
        <v>0</v>
      </c>
      <c r="W160" s="4">
        <f t="shared" si="2"/>
        <v>0.68284347231715659</v>
      </c>
    </row>
    <row r="161" spans="1:23" x14ac:dyDescent="0.2">
      <c r="A161" s="1" t="s">
        <v>182</v>
      </c>
      <c r="B161" s="1" t="s">
        <v>172</v>
      </c>
      <c r="C161" s="1">
        <v>871.94830918583295</v>
      </c>
      <c r="D161" s="5">
        <v>99.401666666666699</v>
      </c>
      <c r="E161" s="4">
        <v>840.54022568266601</v>
      </c>
      <c r="F161" s="6">
        <v>3223.3011229358999</v>
      </c>
      <c r="G161" s="1">
        <v>87.14</v>
      </c>
      <c r="H161" s="1">
        <v>9</v>
      </c>
      <c r="I161" s="7">
        <v>5</v>
      </c>
      <c r="J161" s="1">
        <v>10</v>
      </c>
      <c r="K161" s="1">
        <v>5</v>
      </c>
      <c r="L161" s="4">
        <v>11.345342465753401</v>
      </c>
      <c r="M161" s="4">
        <v>0.3789004457652303</v>
      </c>
      <c r="N161" s="8">
        <v>10000</v>
      </c>
      <c r="O161" s="8">
        <v>250</v>
      </c>
      <c r="P161" s="5">
        <v>2.0249999999999999</v>
      </c>
      <c r="Q161" s="5">
        <v>0.44666666666666699</v>
      </c>
      <c r="R161" s="1">
        <v>10</v>
      </c>
      <c r="S161" s="1">
        <v>40.349649999999997</v>
      </c>
      <c r="T161" s="1">
        <v>32.37968</v>
      </c>
      <c r="U161" s="1">
        <v>0</v>
      </c>
      <c r="V161" s="1">
        <v>1</v>
      </c>
      <c r="W161" s="4">
        <f t="shared" si="2"/>
        <v>0.6210995542347697</v>
      </c>
    </row>
    <row r="162" spans="1:23" x14ac:dyDescent="0.2">
      <c r="A162" s="1" t="s">
        <v>183</v>
      </c>
      <c r="B162" s="1" t="s">
        <v>172</v>
      </c>
      <c r="C162" s="1">
        <v>54.916625004499998</v>
      </c>
      <c r="D162" s="5">
        <v>4.7983333333333302</v>
      </c>
      <c r="E162" s="4">
        <v>104.33999137207999</v>
      </c>
      <c r="F162" s="6">
        <v>634.50948497485001</v>
      </c>
      <c r="G162" s="1">
        <v>1</v>
      </c>
      <c r="H162" s="1">
        <v>2</v>
      </c>
      <c r="I162" s="7">
        <v>6</v>
      </c>
      <c r="J162" s="1">
        <v>6</v>
      </c>
      <c r="K162" s="1">
        <v>1</v>
      </c>
      <c r="L162" s="4">
        <v>11.4023150684932</v>
      </c>
      <c r="M162" s="4">
        <v>0.3133514986376022</v>
      </c>
      <c r="N162" s="8">
        <v>200</v>
      </c>
      <c r="O162" s="8">
        <v>140</v>
      </c>
      <c r="P162" s="5">
        <v>0.543333333333333</v>
      </c>
      <c r="Q162" s="5">
        <v>4.6666666666666697E-2</v>
      </c>
      <c r="R162" s="1">
        <v>45</v>
      </c>
      <c r="S162" s="1">
        <v>40.212789999999998</v>
      </c>
      <c r="T162" s="1">
        <v>32.719569999999997</v>
      </c>
      <c r="U162" s="1">
        <v>1</v>
      </c>
      <c r="V162" s="1">
        <v>1</v>
      </c>
      <c r="W162" s="4">
        <f t="shared" si="2"/>
        <v>0.68664850136239775</v>
      </c>
    </row>
    <row r="163" spans="1:23" x14ac:dyDescent="0.2">
      <c r="A163" s="1" t="s">
        <v>184</v>
      </c>
      <c r="B163" s="1" t="s">
        <v>172</v>
      </c>
      <c r="C163" s="1">
        <v>65.398415858000007</v>
      </c>
      <c r="D163" s="5">
        <v>15.733333333333301</v>
      </c>
      <c r="E163" s="4">
        <v>1377.1184407616799</v>
      </c>
      <c r="F163" s="6">
        <v>4.7658724144087703</v>
      </c>
      <c r="G163" s="1">
        <v>5.33</v>
      </c>
      <c r="H163" s="1">
        <v>2</v>
      </c>
      <c r="I163" s="7">
        <v>4</v>
      </c>
      <c r="J163" s="1">
        <v>2</v>
      </c>
      <c r="K163" s="1">
        <v>7</v>
      </c>
      <c r="L163" s="4">
        <v>10.9915342465753</v>
      </c>
      <c r="M163" s="4">
        <v>0.33121468926553671</v>
      </c>
      <c r="N163" s="8">
        <v>657</v>
      </c>
      <c r="O163" s="8">
        <v>100</v>
      </c>
      <c r="P163" s="5">
        <v>0.77166666666666694</v>
      </c>
      <c r="Q163" s="5">
        <v>0.11</v>
      </c>
      <c r="R163" s="1">
        <v>55</v>
      </c>
      <c r="S163" s="1">
        <v>40.284480000000002</v>
      </c>
      <c r="T163" s="1">
        <v>32.267270000000003</v>
      </c>
      <c r="U163" s="1">
        <v>1</v>
      </c>
      <c r="V163" s="1">
        <v>1</v>
      </c>
      <c r="W163" s="4">
        <f t="shared" si="2"/>
        <v>0.66878531073446323</v>
      </c>
    </row>
    <row r="164" spans="1:23" x14ac:dyDescent="0.2">
      <c r="A164" s="1" t="s">
        <v>185</v>
      </c>
      <c r="B164" s="1" t="s">
        <v>172</v>
      </c>
      <c r="C164" s="1">
        <v>10.794266525999999</v>
      </c>
      <c r="D164" s="5">
        <v>67.59</v>
      </c>
      <c r="E164" s="4">
        <v>125.946011722029</v>
      </c>
      <c r="F164" s="6">
        <v>2785.9678649923899</v>
      </c>
      <c r="G164" s="1">
        <v>7.33</v>
      </c>
      <c r="H164" s="1">
        <v>6</v>
      </c>
      <c r="I164" s="7">
        <v>5</v>
      </c>
      <c r="J164" s="1">
        <v>6</v>
      </c>
      <c r="K164" s="1">
        <v>5</v>
      </c>
      <c r="L164" s="4">
        <v>10.9915342465753</v>
      </c>
      <c r="M164" s="4">
        <v>0.3305728088336784</v>
      </c>
      <c r="N164" s="8">
        <v>100</v>
      </c>
      <c r="O164" s="8">
        <v>80</v>
      </c>
      <c r="P164" s="5">
        <v>1.1725000000000001</v>
      </c>
      <c r="Q164" s="5">
        <v>0.40525</v>
      </c>
      <c r="R164" s="1">
        <v>33</v>
      </c>
      <c r="S164" s="1">
        <v>40.256860000000003</v>
      </c>
      <c r="T164" s="1">
        <v>32.193269999999998</v>
      </c>
      <c r="U164" s="1">
        <v>1</v>
      </c>
      <c r="V164" s="1">
        <v>0</v>
      </c>
      <c r="W164" s="4">
        <f t="shared" si="2"/>
        <v>0.66942719116632166</v>
      </c>
    </row>
    <row r="165" spans="1:23" x14ac:dyDescent="0.2">
      <c r="A165" s="1" t="s">
        <v>186</v>
      </c>
      <c r="B165" s="1" t="s">
        <v>172</v>
      </c>
      <c r="C165" s="1">
        <v>749.277790793333</v>
      </c>
      <c r="D165" s="5">
        <v>102.346</v>
      </c>
      <c r="E165" s="4">
        <v>183.360178761291</v>
      </c>
      <c r="F165" s="6">
        <v>1149.53742002575</v>
      </c>
      <c r="G165" s="1">
        <v>87.5</v>
      </c>
      <c r="H165" s="1">
        <v>4</v>
      </c>
      <c r="I165" s="7">
        <v>4</v>
      </c>
      <c r="J165" s="1">
        <v>8</v>
      </c>
      <c r="K165" s="1">
        <v>4</v>
      </c>
      <c r="L165" s="4">
        <v>10.9915342465753</v>
      </c>
      <c r="M165" s="4">
        <v>0.33425797503467408</v>
      </c>
      <c r="N165" s="8">
        <v>1000</v>
      </c>
      <c r="O165" s="8">
        <v>150</v>
      </c>
      <c r="P165" s="5">
        <v>2.1366666666666698</v>
      </c>
      <c r="Q165" s="5">
        <v>0.5383</v>
      </c>
      <c r="R165" s="1">
        <v>50</v>
      </c>
      <c r="S165" s="1">
        <v>40.253799999999998</v>
      </c>
      <c r="T165" s="1">
        <v>32.217970000000001</v>
      </c>
      <c r="U165" s="1">
        <v>0</v>
      </c>
      <c r="V165" s="1">
        <v>1</v>
      </c>
      <c r="W165" s="4">
        <f t="shared" si="2"/>
        <v>0.66574202496532586</v>
      </c>
    </row>
    <row r="166" spans="1:23" x14ac:dyDescent="0.2">
      <c r="A166" s="1" t="s">
        <v>187</v>
      </c>
      <c r="B166" s="1" t="s">
        <v>172</v>
      </c>
      <c r="C166" s="1">
        <v>516.68019928224999</v>
      </c>
      <c r="D166" s="5">
        <v>36.716666666666697</v>
      </c>
      <c r="E166" s="4">
        <v>102.05484690242901</v>
      </c>
      <c r="F166" s="6">
        <v>3423.50465695312</v>
      </c>
      <c r="G166" s="1">
        <v>92.5</v>
      </c>
      <c r="H166" s="1">
        <v>2</v>
      </c>
      <c r="I166" s="7">
        <v>5</v>
      </c>
      <c r="J166" s="1">
        <v>10</v>
      </c>
      <c r="K166" s="1">
        <v>5</v>
      </c>
      <c r="L166" s="4">
        <v>10.9915342465753</v>
      </c>
      <c r="M166" s="4">
        <v>0.33425797503467408</v>
      </c>
      <c r="N166" s="8">
        <v>3000</v>
      </c>
      <c r="O166" s="8">
        <v>200</v>
      </c>
      <c r="P166" s="5">
        <v>1.61666666666667</v>
      </c>
      <c r="Q166" s="5">
        <v>0.255</v>
      </c>
      <c r="R166" s="1">
        <v>45</v>
      </c>
      <c r="S166" s="1">
        <v>40.253729999999997</v>
      </c>
      <c r="T166" s="1">
        <v>32.220140000000001</v>
      </c>
      <c r="U166" s="1">
        <v>1</v>
      </c>
      <c r="V166" s="1">
        <v>1</v>
      </c>
      <c r="W166" s="4">
        <f t="shared" si="2"/>
        <v>0.66574202496532586</v>
      </c>
    </row>
    <row r="167" spans="1:23" x14ac:dyDescent="0.2">
      <c r="A167" s="1" t="s">
        <v>188</v>
      </c>
      <c r="B167" s="1" t="s">
        <v>172</v>
      </c>
      <c r="C167" s="1">
        <v>437.99975230266699</v>
      </c>
      <c r="D167" s="5">
        <v>44.8466666666667</v>
      </c>
      <c r="E167" s="4">
        <v>296.84555214846</v>
      </c>
      <c r="F167" s="6">
        <v>514.951591817637</v>
      </c>
      <c r="G167" s="1">
        <v>95</v>
      </c>
      <c r="H167" s="1">
        <v>5</v>
      </c>
      <c r="I167" s="7">
        <v>4</v>
      </c>
      <c r="J167" s="1">
        <v>7</v>
      </c>
      <c r="K167" s="1">
        <v>4</v>
      </c>
      <c r="L167" s="4">
        <v>10.9915342465753</v>
      </c>
      <c r="M167" s="4">
        <v>0.30753282653766412</v>
      </c>
      <c r="N167" s="8">
        <v>1000</v>
      </c>
      <c r="O167" s="8">
        <v>200</v>
      </c>
      <c r="P167" s="5">
        <v>1.83</v>
      </c>
      <c r="Q167" s="5">
        <v>0.4335</v>
      </c>
      <c r="R167" s="1">
        <v>65</v>
      </c>
      <c r="S167" s="1">
        <v>40.236969999999999</v>
      </c>
      <c r="T167" s="1">
        <v>32.242699999999999</v>
      </c>
      <c r="U167" s="1">
        <v>0</v>
      </c>
      <c r="V167" s="1">
        <v>1</v>
      </c>
      <c r="W167" s="4">
        <f t="shared" si="2"/>
        <v>0.69246717346233588</v>
      </c>
    </row>
    <row r="168" spans="1:23" x14ac:dyDescent="0.2">
      <c r="A168" s="1" t="s">
        <v>189</v>
      </c>
      <c r="B168" s="1" t="s">
        <v>172</v>
      </c>
      <c r="C168" s="1">
        <v>566.358606829</v>
      </c>
      <c r="D168" s="5">
        <v>81.468333333333305</v>
      </c>
      <c r="E168" s="4">
        <v>28.312068379963101</v>
      </c>
      <c r="F168" s="6">
        <v>236.109596045704</v>
      </c>
      <c r="G168" s="1">
        <v>41.5</v>
      </c>
      <c r="H168" s="1">
        <v>5</v>
      </c>
      <c r="I168" s="7">
        <v>4</v>
      </c>
      <c r="J168" s="1">
        <v>5</v>
      </c>
      <c r="K168" s="1">
        <v>2</v>
      </c>
      <c r="L168" s="4">
        <v>10.9915342465753</v>
      </c>
      <c r="M168" s="4">
        <v>0.33402633402633403</v>
      </c>
      <c r="N168" s="8">
        <v>5000</v>
      </c>
      <c r="O168" s="8">
        <v>490</v>
      </c>
      <c r="P168" s="5">
        <v>1.26</v>
      </c>
      <c r="Q168" s="5">
        <v>8.6666666666666697E-2</v>
      </c>
      <c r="R168" s="1">
        <v>20</v>
      </c>
      <c r="S168" s="1">
        <v>40.258980000000001</v>
      </c>
      <c r="T168" s="1">
        <v>32.228459999999998</v>
      </c>
      <c r="U168" s="1">
        <v>1</v>
      </c>
      <c r="V168" s="1">
        <v>1</v>
      </c>
      <c r="W168" s="4">
        <f t="shared" si="2"/>
        <v>0.66597366597366592</v>
      </c>
    </row>
    <row r="169" spans="1:23" x14ac:dyDescent="0.2">
      <c r="A169" s="1" t="s">
        <v>190</v>
      </c>
      <c r="B169" s="1" t="s">
        <v>172</v>
      </c>
      <c r="C169" s="1">
        <v>115.07690913825</v>
      </c>
      <c r="D169" s="5">
        <v>22.886666666666699</v>
      </c>
      <c r="E169" s="4">
        <v>4.1384812087375096</v>
      </c>
      <c r="F169" s="6">
        <v>746.14640361616796</v>
      </c>
      <c r="G169" s="1">
        <v>46.66</v>
      </c>
      <c r="H169" s="1">
        <v>2</v>
      </c>
      <c r="I169" s="7">
        <v>5</v>
      </c>
      <c r="J169" s="1">
        <v>10</v>
      </c>
      <c r="K169" s="1">
        <v>2</v>
      </c>
      <c r="L169" s="4">
        <v>10.9915342465753</v>
      </c>
      <c r="M169" s="4">
        <v>0.33448993754337264</v>
      </c>
      <c r="N169" s="8">
        <v>1000</v>
      </c>
      <c r="O169" s="8">
        <v>150</v>
      </c>
      <c r="P169" s="5">
        <v>1.3483333333333301</v>
      </c>
      <c r="Q169" s="5">
        <v>0.24666666666666701</v>
      </c>
      <c r="R169" s="1">
        <v>5</v>
      </c>
      <c r="S169" s="1">
        <v>40.27608</v>
      </c>
      <c r="T169" s="1">
        <v>32.228859999999997</v>
      </c>
      <c r="U169" s="1">
        <v>0</v>
      </c>
      <c r="V169" s="1">
        <v>1</v>
      </c>
      <c r="W169" s="4">
        <f t="shared" si="2"/>
        <v>0.66551006245662736</v>
      </c>
    </row>
    <row r="170" spans="1:23" x14ac:dyDescent="0.2">
      <c r="A170" s="1" t="s">
        <v>191</v>
      </c>
      <c r="B170" s="1" t="s">
        <v>172</v>
      </c>
      <c r="C170" s="1">
        <v>95.499559579999996</v>
      </c>
      <c r="D170" s="5">
        <v>11.805</v>
      </c>
      <c r="E170" s="4">
        <v>242.611755835747</v>
      </c>
      <c r="F170" s="6">
        <v>7676.9615663573904</v>
      </c>
      <c r="G170" s="1">
        <v>38.54</v>
      </c>
      <c r="H170" s="1">
        <v>14</v>
      </c>
      <c r="I170" s="7">
        <v>6</v>
      </c>
      <c r="J170" s="1">
        <v>5</v>
      </c>
      <c r="K170" s="1">
        <v>4</v>
      </c>
      <c r="L170" s="4">
        <v>10.9915342465753</v>
      </c>
      <c r="M170" s="4">
        <v>0.39320754716981132</v>
      </c>
      <c r="N170" s="8">
        <v>562</v>
      </c>
      <c r="O170" s="8">
        <v>50</v>
      </c>
      <c r="P170" s="5">
        <v>1.085</v>
      </c>
      <c r="Q170" s="5">
        <v>0.11</v>
      </c>
      <c r="R170" s="1">
        <v>55</v>
      </c>
      <c r="S170" s="1">
        <v>40.368020000000001</v>
      </c>
      <c r="T170" s="1">
        <v>32.291649999999997</v>
      </c>
      <c r="U170" s="1">
        <v>1</v>
      </c>
      <c r="V170" s="1">
        <v>0</v>
      </c>
      <c r="W170" s="4">
        <f t="shared" si="2"/>
        <v>0.60679245283018868</v>
      </c>
    </row>
    <row r="171" spans="1:23" x14ac:dyDescent="0.2">
      <c r="A171" s="1" t="s">
        <v>192</v>
      </c>
      <c r="B171" s="1" t="s">
        <v>172</v>
      </c>
      <c r="C171" s="1">
        <v>974.34270321966699</v>
      </c>
      <c r="D171" s="5">
        <v>68.206666666666706</v>
      </c>
      <c r="E171" s="4">
        <v>45.719219301552997</v>
      </c>
      <c r="F171" s="6">
        <v>748.61754752616298</v>
      </c>
      <c r="G171" s="1">
        <v>69.83</v>
      </c>
      <c r="H171" s="1">
        <v>11</v>
      </c>
      <c r="I171" s="7">
        <v>4</v>
      </c>
      <c r="J171" s="1">
        <v>9</v>
      </c>
      <c r="K171" s="1">
        <v>1</v>
      </c>
      <c r="L171" s="4">
        <v>10.9915342465753</v>
      </c>
      <c r="M171" s="4">
        <v>0.41798107255520506</v>
      </c>
      <c r="N171" s="8">
        <v>25.6</v>
      </c>
      <c r="O171" s="8">
        <v>50</v>
      </c>
      <c r="P171" s="5">
        <v>1.3483333333333301</v>
      </c>
      <c r="Q171" s="5">
        <v>0.34499999999999997</v>
      </c>
      <c r="R171" s="1">
        <v>20</v>
      </c>
      <c r="S171" s="1">
        <v>40.338290000000001</v>
      </c>
      <c r="T171" s="1">
        <v>32.23019</v>
      </c>
      <c r="U171" s="1">
        <v>1</v>
      </c>
      <c r="V171" s="1">
        <v>1</v>
      </c>
      <c r="W171" s="4">
        <f t="shared" si="2"/>
        <v>0.58201892744479489</v>
      </c>
    </row>
    <row r="172" spans="1:23" x14ac:dyDescent="0.2">
      <c r="A172" s="1" t="s">
        <v>193</v>
      </c>
      <c r="B172" s="1" t="s">
        <v>172</v>
      </c>
      <c r="C172" s="1">
        <v>96.842416915666703</v>
      </c>
      <c r="D172" s="5">
        <v>44.93</v>
      </c>
      <c r="E172" s="4">
        <v>291.865081797637</v>
      </c>
      <c r="F172" s="6">
        <v>2152.3944325694501</v>
      </c>
      <c r="G172" s="1">
        <v>100</v>
      </c>
      <c r="H172" s="1">
        <v>3</v>
      </c>
      <c r="I172" s="7">
        <v>8</v>
      </c>
      <c r="J172" s="1">
        <v>5</v>
      </c>
      <c r="K172" s="1">
        <v>1</v>
      </c>
      <c r="L172" s="4">
        <v>11.4023150684932</v>
      </c>
      <c r="M172" s="4">
        <v>0.3133514986376022</v>
      </c>
      <c r="N172" s="8">
        <v>500</v>
      </c>
      <c r="O172" s="8">
        <v>140</v>
      </c>
      <c r="P172" s="5">
        <v>0.91500000000000004</v>
      </c>
      <c r="Q172" s="5">
        <v>0.103333333333333</v>
      </c>
      <c r="R172" s="1">
        <v>30</v>
      </c>
      <c r="S172" s="1">
        <v>40.212739999999997</v>
      </c>
      <c r="T172" s="1">
        <v>32.719709999999999</v>
      </c>
      <c r="U172" s="1">
        <v>1</v>
      </c>
      <c r="V172" s="1">
        <v>1</v>
      </c>
      <c r="W172" s="4">
        <f t="shared" si="2"/>
        <v>0.68664850136239775</v>
      </c>
    </row>
    <row r="173" spans="1:23" x14ac:dyDescent="0.2">
      <c r="A173" s="1" t="s">
        <v>194</v>
      </c>
      <c r="B173" s="1" t="s">
        <v>172</v>
      </c>
      <c r="C173" s="1">
        <v>1003.75096526333</v>
      </c>
      <c r="D173" s="5">
        <v>185.37</v>
      </c>
      <c r="E173" s="4">
        <v>3.0748699594239</v>
      </c>
      <c r="F173" s="6">
        <v>2486.9200483023701</v>
      </c>
      <c r="G173" s="1">
        <v>19.28</v>
      </c>
      <c r="H173" s="1">
        <v>8</v>
      </c>
      <c r="I173" s="7">
        <v>4</v>
      </c>
      <c r="J173" s="1">
        <v>8</v>
      </c>
      <c r="K173" s="1">
        <v>1</v>
      </c>
      <c r="L173" s="4">
        <v>10.9915342465753</v>
      </c>
      <c r="M173" s="4">
        <v>0.41798107255520506</v>
      </c>
      <c r="N173" s="8">
        <v>100</v>
      </c>
      <c r="O173" s="8">
        <v>80</v>
      </c>
      <c r="P173" s="5">
        <v>1.7266666666666699</v>
      </c>
      <c r="Q173" s="5">
        <v>0.86</v>
      </c>
      <c r="R173" s="1">
        <v>20</v>
      </c>
      <c r="S173" s="1">
        <v>40.338360000000002</v>
      </c>
      <c r="T173" s="1">
        <v>32.229939999999999</v>
      </c>
      <c r="U173" s="1">
        <v>1</v>
      </c>
      <c r="V173" s="1">
        <v>1</v>
      </c>
      <c r="W173" s="4">
        <f t="shared" si="2"/>
        <v>0.58201892744479489</v>
      </c>
    </row>
    <row r="174" spans="1:23" x14ac:dyDescent="0.2">
      <c r="A174" s="1" t="s">
        <v>195</v>
      </c>
      <c r="B174" s="1" t="s">
        <v>172</v>
      </c>
      <c r="C174" s="1">
        <v>2.5995352187499998</v>
      </c>
      <c r="D174" s="5">
        <v>6.16</v>
      </c>
      <c r="E174" s="4">
        <v>163.263743804515</v>
      </c>
      <c r="F174" s="6">
        <v>1552.9893602203799</v>
      </c>
      <c r="G174" s="1">
        <v>20</v>
      </c>
      <c r="H174" s="1">
        <v>5</v>
      </c>
      <c r="I174" s="7">
        <v>7</v>
      </c>
      <c r="J174" s="1">
        <v>2</v>
      </c>
      <c r="K174" s="1">
        <v>3</v>
      </c>
      <c r="L174" s="4">
        <v>11.4023150684932</v>
      </c>
      <c r="M174" s="4">
        <v>0.3133514986376022</v>
      </c>
      <c r="N174" s="8">
        <v>4000</v>
      </c>
      <c r="O174" s="8">
        <v>530</v>
      </c>
      <c r="P174" s="5">
        <v>0.52666666666666695</v>
      </c>
      <c r="Q174" s="5">
        <v>5.3333333333333302E-2</v>
      </c>
      <c r="R174" s="1">
        <v>35</v>
      </c>
      <c r="S174" s="1">
        <v>40.211930000000002</v>
      </c>
      <c r="T174" s="1">
        <v>32.720889999999997</v>
      </c>
      <c r="U174" s="1">
        <v>1</v>
      </c>
      <c r="V174" s="1">
        <v>1</v>
      </c>
      <c r="W174" s="4">
        <f t="shared" si="2"/>
        <v>0.68664850136239775</v>
      </c>
    </row>
    <row r="175" spans="1:23" x14ac:dyDescent="0.2">
      <c r="A175" s="1" t="s">
        <v>196</v>
      </c>
      <c r="B175" s="1" t="s">
        <v>172</v>
      </c>
      <c r="C175" s="1">
        <v>772.15985793666698</v>
      </c>
      <c r="D175" s="5">
        <v>27.815000000000001</v>
      </c>
      <c r="E175" s="4">
        <v>242.10348309832801</v>
      </c>
      <c r="F175" s="6">
        <v>2355.9652471129698</v>
      </c>
      <c r="G175" s="1">
        <v>100</v>
      </c>
      <c r="H175" s="1">
        <v>5</v>
      </c>
      <c r="I175" s="7">
        <v>7</v>
      </c>
      <c r="J175" s="1">
        <v>10</v>
      </c>
      <c r="K175" s="1">
        <v>3</v>
      </c>
      <c r="L175" s="4">
        <v>11.4023150684932</v>
      </c>
      <c r="M175" s="4">
        <v>0.3133514986376022</v>
      </c>
      <c r="N175" s="8">
        <v>17.600000000000001</v>
      </c>
      <c r="O175" s="8">
        <v>100</v>
      </c>
      <c r="P175" s="5">
        <v>1.145</v>
      </c>
      <c r="Q175" s="5">
        <v>0.22500000000000001</v>
      </c>
      <c r="R175" s="1">
        <v>30</v>
      </c>
      <c r="S175" s="1">
        <v>40.215049999999998</v>
      </c>
      <c r="T175" s="1">
        <v>32.718589999999999</v>
      </c>
      <c r="U175" s="1">
        <v>1</v>
      </c>
      <c r="V175" s="1">
        <v>0</v>
      </c>
      <c r="W175" s="4">
        <f t="shared" si="2"/>
        <v>0.68664850136239775</v>
      </c>
    </row>
    <row r="176" spans="1:23" x14ac:dyDescent="0.2">
      <c r="A176" s="1" t="s">
        <v>197</v>
      </c>
      <c r="B176" s="1" t="s">
        <v>172</v>
      </c>
      <c r="C176" s="1">
        <v>210.506340617067</v>
      </c>
      <c r="D176" s="5">
        <v>45.69</v>
      </c>
      <c r="E176" s="4">
        <v>218.496599052314</v>
      </c>
      <c r="F176" s="6">
        <v>625.17646270059595</v>
      </c>
      <c r="G176" s="1">
        <v>81.25</v>
      </c>
      <c r="H176" s="1">
        <v>5</v>
      </c>
      <c r="I176" s="7">
        <v>9</v>
      </c>
      <c r="J176" s="1">
        <v>7</v>
      </c>
      <c r="K176" s="1">
        <v>2</v>
      </c>
      <c r="L176" s="4">
        <v>11.4023150684932</v>
      </c>
      <c r="M176" s="4">
        <v>0.3133514986376022</v>
      </c>
      <c r="N176" s="8">
        <v>700</v>
      </c>
      <c r="O176" s="8">
        <v>450</v>
      </c>
      <c r="P176" s="5">
        <v>3.68</v>
      </c>
      <c r="Q176" s="5">
        <v>7.0000000000000007E-2</v>
      </c>
      <c r="R176" s="1">
        <v>85</v>
      </c>
      <c r="S176" s="1">
        <v>40.216340000000002</v>
      </c>
      <c r="T176" s="1">
        <v>32.721139999999998</v>
      </c>
      <c r="U176" s="1">
        <v>1</v>
      </c>
      <c r="V176" s="1">
        <v>1</v>
      </c>
      <c r="W176" s="4">
        <f t="shared" si="2"/>
        <v>0.68664850136239775</v>
      </c>
    </row>
    <row r="177" spans="1:23" x14ac:dyDescent="0.2">
      <c r="A177" s="1" t="s">
        <v>198</v>
      </c>
      <c r="B177" s="1" t="s">
        <v>172</v>
      </c>
      <c r="C177" s="1">
        <v>172.01110394426701</v>
      </c>
      <c r="D177" s="5">
        <v>37.686666666666703</v>
      </c>
      <c r="E177" s="4">
        <v>38.007044587142801</v>
      </c>
      <c r="F177" s="6">
        <v>13943.6932890476</v>
      </c>
      <c r="G177" s="1">
        <v>62.77</v>
      </c>
      <c r="H177" s="1">
        <v>4</v>
      </c>
      <c r="I177" s="7">
        <v>7</v>
      </c>
      <c r="J177" s="1">
        <v>4</v>
      </c>
      <c r="K177" s="1">
        <v>1</v>
      </c>
      <c r="L177" s="4">
        <v>11.4023150684932</v>
      </c>
      <c r="M177" s="4">
        <v>0.3133514986376022</v>
      </c>
      <c r="N177" s="8">
        <v>3317</v>
      </c>
      <c r="O177" s="8">
        <v>460</v>
      </c>
      <c r="P177" s="5">
        <v>0.99333333333333296</v>
      </c>
      <c r="Q177" s="5">
        <v>0.14000000000000001</v>
      </c>
      <c r="R177" s="1">
        <v>52</v>
      </c>
      <c r="S177" s="1">
        <v>40.213619999999999</v>
      </c>
      <c r="T177" s="1">
        <v>32.727809999999998</v>
      </c>
      <c r="U177" s="1">
        <v>1</v>
      </c>
      <c r="V177" s="1">
        <v>1</v>
      </c>
      <c r="W177" s="4">
        <f t="shared" si="2"/>
        <v>0.68664850136239775</v>
      </c>
    </row>
    <row r="178" spans="1:23" x14ac:dyDescent="0.2">
      <c r="A178" s="1" t="s">
        <v>199</v>
      </c>
      <c r="B178" s="1" t="s">
        <v>172</v>
      </c>
      <c r="C178" s="1">
        <v>63.093001553500002</v>
      </c>
      <c r="D178" s="5">
        <v>32.426666666666698</v>
      </c>
      <c r="E178" s="4">
        <v>608.44285520850303</v>
      </c>
      <c r="F178" s="6">
        <v>2063.5872371966502</v>
      </c>
      <c r="G178" s="1">
        <v>36.659999999999997</v>
      </c>
      <c r="H178" s="1">
        <v>7</v>
      </c>
      <c r="I178" s="7">
        <v>6</v>
      </c>
      <c r="J178" s="1">
        <v>8</v>
      </c>
      <c r="K178" s="1">
        <v>2</v>
      </c>
      <c r="L178" s="4">
        <v>11.4023150684932</v>
      </c>
      <c r="M178" s="4">
        <v>0.31463748290013682</v>
      </c>
      <c r="N178" s="8">
        <v>2000</v>
      </c>
      <c r="O178" s="8">
        <v>470</v>
      </c>
      <c r="P178" s="5">
        <v>0.50666666666666704</v>
      </c>
      <c r="Q178" s="5">
        <v>6.8333333333333302E-2</v>
      </c>
      <c r="R178" s="1">
        <v>17</v>
      </c>
      <c r="S178" s="1">
        <v>40.214930000000003</v>
      </c>
      <c r="T178" s="1">
        <v>32.733350000000002</v>
      </c>
      <c r="U178" s="1">
        <v>1</v>
      </c>
      <c r="V178" s="1">
        <v>1</v>
      </c>
      <c r="W178" s="4">
        <f t="shared" si="2"/>
        <v>0.68536251709986318</v>
      </c>
    </row>
    <row r="179" spans="1:23" x14ac:dyDescent="0.2">
      <c r="A179" s="1" t="s">
        <v>200</v>
      </c>
      <c r="B179" s="1" t="s">
        <v>172</v>
      </c>
      <c r="C179" s="1">
        <v>1069.8376388291899</v>
      </c>
      <c r="D179" s="5">
        <v>114.55249999999999</v>
      </c>
      <c r="E179" s="4">
        <v>229.47991138869699</v>
      </c>
      <c r="F179" s="6">
        <v>165.98382413765</v>
      </c>
      <c r="G179" s="1">
        <v>80.5</v>
      </c>
      <c r="H179" s="1">
        <v>2</v>
      </c>
      <c r="I179" s="7">
        <v>6</v>
      </c>
      <c r="J179" s="1">
        <v>2</v>
      </c>
      <c r="K179" s="1">
        <v>1</v>
      </c>
      <c r="L179" s="4">
        <v>11.4023150684932</v>
      </c>
      <c r="M179" s="4">
        <v>0.29491525423728815</v>
      </c>
      <c r="N179" s="8">
        <v>8000</v>
      </c>
      <c r="O179" s="8">
        <v>400</v>
      </c>
      <c r="P179" s="5">
        <v>1.522</v>
      </c>
      <c r="Q179" s="5">
        <v>0.27</v>
      </c>
      <c r="R179" s="1">
        <v>30</v>
      </c>
      <c r="S179" s="1">
        <v>40.144159999999999</v>
      </c>
      <c r="T179" s="1">
        <v>32.635509999999996</v>
      </c>
      <c r="U179" s="1">
        <v>1</v>
      </c>
      <c r="V179" s="1">
        <v>1</v>
      </c>
      <c r="W179" s="4">
        <f t="shared" si="2"/>
        <v>0.70508474576271185</v>
      </c>
    </row>
    <row r="180" spans="1:23" x14ac:dyDescent="0.2">
      <c r="A180" s="1" t="s">
        <v>201</v>
      </c>
      <c r="B180" s="1" t="s">
        <v>202</v>
      </c>
      <c r="C180" s="1">
        <v>226.35246686249999</v>
      </c>
      <c r="D180" s="5">
        <v>22.3</v>
      </c>
      <c r="E180" s="4">
        <v>375.06526461485203</v>
      </c>
      <c r="F180" s="4">
        <v>1777.6548000002899</v>
      </c>
      <c r="G180" s="1">
        <v>13</v>
      </c>
      <c r="H180" s="1">
        <v>14</v>
      </c>
      <c r="I180" s="7">
        <v>6</v>
      </c>
      <c r="J180" s="1">
        <v>11</v>
      </c>
      <c r="K180" s="1">
        <v>3</v>
      </c>
      <c r="L180" s="4">
        <v>11.0022191780822</v>
      </c>
      <c r="M180" s="4">
        <v>0.90275952693823913</v>
      </c>
      <c r="N180" s="8">
        <v>480</v>
      </c>
      <c r="O180" s="8">
        <v>126.6</v>
      </c>
      <c r="P180" s="5">
        <v>2.1666666666666701</v>
      </c>
      <c r="Q180" s="5">
        <v>0.51866666666666705</v>
      </c>
      <c r="R180" s="1">
        <v>63</v>
      </c>
      <c r="S180" s="1">
        <v>52.894860469999998</v>
      </c>
      <c r="T180" s="1">
        <v>1.1366120099999999</v>
      </c>
      <c r="U180" s="1">
        <v>0</v>
      </c>
      <c r="V180" s="1">
        <v>1</v>
      </c>
      <c r="W180" s="4">
        <f t="shared" si="2"/>
        <v>9.7240473061760868E-2</v>
      </c>
    </row>
    <row r="181" spans="1:23" x14ac:dyDescent="0.2">
      <c r="A181" s="1" t="s">
        <v>203</v>
      </c>
      <c r="B181" s="1" t="s">
        <v>202</v>
      </c>
      <c r="C181" s="1">
        <v>600.15254602849996</v>
      </c>
      <c r="D181" s="5">
        <v>65.633333333333297</v>
      </c>
      <c r="E181" s="4">
        <v>843.967325690341</v>
      </c>
      <c r="F181" s="4">
        <v>2490.6498217747599</v>
      </c>
      <c r="G181" s="1">
        <v>14</v>
      </c>
      <c r="H181" s="1">
        <v>16</v>
      </c>
      <c r="I181" s="7">
        <v>6</v>
      </c>
      <c r="J181" s="1">
        <v>11</v>
      </c>
      <c r="K181" s="1">
        <v>2</v>
      </c>
      <c r="L181" s="4">
        <v>11.0022191780822</v>
      </c>
      <c r="M181" s="4">
        <v>0.90275952693823913</v>
      </c>
      <c r="N181" s="8">
        <v>500</v>
      </c>
      <c r="O181" s="8">
        <v>142.80000000000001</v>
      </c>
      <c r="P181" s="5">
        <v>1.63333333333333</v>
      </c>
      <c r="Q181" s="5">
        <v>0.52266666666666695</v>
      </c>
      <c r="R181" s="1">
        <v>87</v>
      </c>
      <c r="S181" s="1">
        <v>52.89631404</v>
      </c>
      <c r="T181" s="1">
        <v>1.14013735</v>
      </c>
      <c r="U181" s="1">
        <v>0</v>
      </c>
      <c r="V181" s="1">
        <v>1</v>
      </c>
      <c r="W181" s="4">
        <f t="shared" si="2"/>
        <v>9.7240473061760868E-2</v>
      </c>
    </row>
    <row r="182" spans="1:23" x14ac:dyDescent="0.2">
      <c r="A182" s="1" t="s">
        <v>204</v>
      </c>
      <c r="B182" s="1" t="s">
        <v>202</v>
      </c>
      <c r="C182" s="1">
        <v>383.24484393900002</v>
      </c>
      <c r="D182" s="5">
        <v>62.8333333333333</v>
      </c>
      <c r="E182" s="4">
        <v>203.50142503705101</v>
      </c>
      <c r="F182" s="4">
        <v>2379.7559756994601</v>
      </c>
      <c r="G182" s="1">
        <v>2</v>
      </c>
      <c r="H182" s="1">
        <v>10</v>
      </c>
      <c r="I182" s="7">
        <v>9</v>
      </c>
      <c r="J182" s="1">
        <v>10</v>
      </c>
      <c r="K182" s="1">
        <v>2</v>
      </c>
      <c r="L182" s="4">
        <v>11.0022191780822</v>
      </c>
      <c r="M182" s="4">
        <v>0.90513833992094861</v>
      </c>
      <c r="N182" s="8">
        <v>490</v>
      </c>
      <c r="O182" s="8">
        <v>174</v>
      </c>
      <c r="P182" s="5">
        <v>2.25</v>
      </c>
      <c r="Q182" s="5">
        <v>0.20266666666666699</v>
      </c>
      <c r="R182" s="1">
        <v>80</v>
      </c>
      <c r="S182" s="1">
        <v>52.910413069999997</v>
      </c>
      <c r="T182" s="1">
        <v>1.15952933</v>
      </c>
      <c r="U182" s="1">
        <v>1</v>
      </c>
      <c r="V182" s="1">
        <v>1</v>
      </c>
      <c r="W182" s="4">
        <f t="shared" si="2"/>
        <v>9.4861660079051391E-2</v>
      </c>
    </row>
    <row r="183" spans="1:23" x14ac:dyDescent="0.2">
      <c r="A183" s="1" t="s">
        <v>205</v>
      </c>
      <c r="B183" s="1" t="s">
        <v>202</v>
      </c>
      <c r="C183" s="1">
        <v>512.55323308050004</v>
      </c>
      <c r="D183" s="5">
        <v>49.7</v>
      </c>
      <c r="E183" s="4">
        <v>69.234830864787696</v>
      </c>
      <c r="F183" s="4">
        <v>723.29278139088399</v>
      </c>
      <c r="G183" s="1">
        <v>8</v>
      </c>
      <c r="H183" s="1">
        <v>11</v>
      </c>
      <c r="I183" s="7">
        <v>7</v>
      </c>
      <c r="J183" s="1">
        <v>14</v>
      </c>
      <c r="K183" s="1">
        <v>0</v>
      </c>
      <c r="L183" s="4">
        <v>11.0022191780822</v>
      </c>
      <c r="M183" s="4">
        <v>0.90513833992094861</v>
      </c>
      <c r="N183" s="8">
        <v>400</v>
      </c>
      <c r="O183" s="8">
        <v>153.80000000000001</v>
      </c>
      <c r="P183" s="5">
        <v>2.1133333333333302</v>
      </c>
      <c r="Q183" s="5">
        <v>0.175666666666667</v>
      </c>
      <c r="R183" s="1">
        <v>80</v>
      </c>
      <c r="S183" s="1">
        <v>52.911593160000002</v>
      </c>
      <c r="T183" s="1">
        <v>1.16080538</v>
      </c>
      <c r="U183" s="1">
        <v>1</v>
      </c>
      <c r="V183" s="1">
        <v>1</v>
      </c>
      <c r="W183" s="4">
        <f t="shared" si="2"/>
        <v>9.4861660079051391E-2</v>
      </c>
    </row>
    <row r="184" spans="1:23" x14ac:dyDescent="0.2">
      <c r="A184" s="1" t="s">
        <v>206</v>
      </c>
      <c r="B184" s="1" t="s">
        <v>202</v>
      </c>
      <c r="C184" s="1">
        <v>356.56013710163302</v>
      </c>
      <c r="D184" s="5">
        <v>41.2</v>
      </c>
      <c r="E184" s="4">
        <v>1576.6680390941899</v>
      </c>
      <c r="F184" s="4">
        <v>717.13622264707897</v>
      </c>
      <c r="G184" s="1">
        <v>32</v>
      </c>
      <c r="H184" s="1">
        <v>32</v>
      </c>
      <c r="I184" s="7">
        <v>8</v>
      </c>
      <c r="J184" s="1">
        <v>7</v>
      </c>
      <c r="K184" s="1">
        <v>2</v>
      </c>
      <c r="L184" s="4">
        <v>10.9585068493151</v>
      </c>
      <c r="M184" s="4">
        <v>0.86780104712041883</v>
      </c>
      <c r="N184" s="8">
        <v>3680</v>
      </c>
      <c r="O184" s="8">
        <v>45.4</v>
      </c>
      <c r="P184" s="5">
        <v>2.5066666666666699</v>
      </c>
      <c r="Q184" s="5">
        <v>0.25866666666666699</v>
      </c>
      <c r="R184" s="1">
        <v>28</v>
      </c>
      <c r="S184" s="1">
        <v>52.921105099999998</v>
      </c>
      <c r="T184" s="1">
        <v>1.10433216</v>
      </c>
      <c r="U184" s="1">
        <v>0</v>
      </c>
      <c r="V184" s="1">
        <v>1</v>
      </c>
      <c r="W184" s="4">
        <f t="shared" si="2"/>
        <v>0.13219895287958117</v>
      </c>
    </row>
    <row r="185" spans="1:23" x14ac:dyDescent="0.2">
      <c r="A185" s="1" t="s">
        <v>207</v>
      </c>
      <c r="B185" s="1" t="s">
        <v>202</v>
      </c>
      <c r="C185" s="1">
        <v>357.98565948599997</v>
      </c>
      <c r="D185" s="5">
        <v>38.6</v>
      </c>
      <c r="E185" s="4">
        <v>49.935313421192802</v>
      </c>
      <c r="F185" s="4">
        <v>2400.1634869736499</v>
      </c>
      <c r="G185" s="1">
        <v>80</v>
      </c>
      <c r="H185" s="1">
        <v>22</v>
      </c>
      <c r="I185" s="7">
        <v>6</v>
      </c>
      <c r="J185" s="1">
        <v>11</v>
      </c>
      <c r="K185" s="1">
        <v>2</v>
      </c>
      <c r="L185" s="4">
        <v>10.9585068493151</v>
      </c>
      <c r="M185" s="4">
        <v>0.86780104712041883</v>
      </c>
      <c r="N185" s="8">
        <v>320</v>
      </c>
      <c r="O185" s="8">
        <v>47.2</v>
      </c>
      <c r="P185" s="5">
        <v>2.0633333333333299</v>
      </c>
      <c r="Q185" s="5">
        <v>8.6333333333333304E-2</v>
      </c>
      <c r="R185" s="1">
        <v>24.5</v>
      </c>
      <c r="S185" s="1">
        <v>52.920739150000003</v>
      </c>
      <c r="T185" s="1">
        <v>1.10525823</v>
      </c>
      <c r="U185" s="1">
        <v>1</v>
      </c>
      <c r="V185" s="1">
        <v>1</v>
      </c>
      <c r="W185" s="4">
        <f t="shared" si="2"/>
        <v>0.13219895287958117</v>
      </c>
    </row>
    <row r="186" spans="1:23" x14ac:dyDescent="0.2">
      <c r="A186" s="1" t="s">
        <v>208</v>
      </c>
      <c r="B186" s="1" t="s">
        <v>202</v>
      </c>
      <c r="C186" s="1">
        <v>670.21334634749996</v>
      </c>
      <c r="D186" s="5">
        <v>15.1</v>
      </c>
      <c r="E186" s="4">
        <v>1498.5414814502999</v>
      </c>
      <c r="F186" s="4">
        <v>684.27966574545098</v>
      </c>
      <c r="G186" s="1">
        <v>62</v>
      </c>
      <c r="H186" s="1">
        <v>11</v>
      </c>
      <c r="I186" s="7">
        <v>5</v>
      </c>
      <c r="J186" s="1">
        <v>7</v>
      </c>
      <c r="K186" s="1">
        <v>3</v>
      </c>
      <c r="L186" s="4">
        <v>10.9737945205479</v>
      </c>
      <c r="M186" s="4">
        <v>0.90203562340966925</v>
      </c>
      <c r="N186" s="8">
        <v>110</v>
      </c>
      <c r="O186" s="8">
        <v>75</v>
      </c>
      <c r="P186" s="5">
        <v>1.9266666666666701</v>
      </c>
      <c r="Q186" s="5">
        <v>0.26300000000000001</v>
      </c>
      <c r="R186" s="1">
        <v>97</v>
      </c>
      <c r="S186" s="1">
        <v>52.761737500000002</v>
      </c>
      <c r="T186" s="1">
        <v>0.87482336000000005</v>
      </c>
      <c r="U186" s="1">
        <v>1</v>
      </c>
      <c r="V186" s="1">
        <v>1</v>
      </c>
      <c r="W186" s="4">
        <f t="shared" si="2"/>
        <v>9.7964376590330748E-2</v>
      </c>
    </row>
    <row r="187" spans="1:23" x14ac:dyDescent="0.2">
      <c r="A187" s="1" t="s">
        <v>209</v>
      </c>
      <c r="B187" s="1" t="s">
        <v>202</v>
      </c>
      <c r="C187" s="1">
        <v>294.10280635083302</v>
      </c>
      <c r="D187" s="5">
        <v>10.1</v>
      </c>
      <c r="E187" s="4">
        <v>43.6402014533612</v>
      </c>
      <c r="F187" s="4">
        <v>7109.8531352055898</v>
      </c>
      <c r="G187" s="1">
        <v>33</v>
      </c>
      <c r="H187" s="1">
        <v>13</v>
      </c>
      <c r="I187" s="7">
        <v>6</v>
      </c>
      <c r="J187" s="1">
        <v>12</v>
      </c>
      <c r="K187" s="1">
        <v>3</v>
      </c>
      <c r="L187" s="4">
        <v>10.9737945205479</v>
      </c>
      <c r="M187" s="4">
        <v>0.90203562340966925</v>
      </c>
      <c r="N187" s="8">
        <v>130</v>
      </c>
      <c r="O187" s="8">
        <v>107.4</v>
      </c>
      <c r="P187" s="5">
        <v>1.4</v>
      </c>
      <c r="Q187" s="5">
        <v>0.12833333333333299</v>
      </c>
      <c r="R187" s="1">
        <v>92</v>
      </c>
      <c r="S187" s="1">
        <v>52.76325903</v>
      </c>
      <c r="T187" s="1">
        <v>0.87141022999999995</v>
      </c>
      <c r="U187" s="1">
        <v>0</v>
      </c>
      <c r="V187" s="1">
        <v>1</v>
      </c>
      <c r="W187" s="4">
        <f t="shared" si="2"/>
        <v>9.7964376590330748E-2</v>
      </c>
    </row>
    <row r="188" spans="1:23" x14ac:dyDescent="0.2">
      <c r="A188" s="1" t="s">
        <v>210</v>
      </c>
      <c r="B188" s="1" t="s">
        <v>202</v>
      </c>
      <c r="C188" s="1">
        <v>1080.2942317075001</v>
      </c>
      <c r="D188" s="5">
        <v>30.9</v>
      </c>
      <c r="E188" s="4">
        <v>258.33763779432201</v>
      </c>
      <c r="F188" s="4">
        <v>1395.34328431515</v>
      </c>
      <c r="G188" s="1">
        <v>68</v>
      </c>
      <c r="H188" s="1">
        <v>14</v>
      </c>
      <c r="I188" s="7">
        <v>8</v>
      </c>
      <c r="J188" s="1">
        <v>8</v>
      </c>
      <c r="K188" s="1">
        <v>3</v>
      </c>
      <c r="L188" s="4">
        <v>10.9146164383562</v>
      </c>
      <c r="M188" s="4">
        <v>0.89743589743589747</v>
      </c>
      <c r="N188" s="8">
        <v>300</v>
      </c>
      <c r="O188" s="8">
        <v>25</v>
      </c>
      <c r="P188" s="5">
        <v>4.32</v>
      </c>
      <c r="Q188" s="5">
        <v>0.79833333333333301</v>
      </c>
      <c r="R188" s="1">
        <v>79.5</v>
      </c>
      <c r="S188" s="1">
        <v>52.776196900000002</v>
      </c>
      <c r="T188" s="1">
        <v>0.90436673000000001</v>
      </c>
      <c r="U188" s="1">
        <v>0</v>
      </c>
      <c r="V188" s="1">
        <v>1</v>
      </c>
      <c r="W188" s="4">
        <f t="shared" si="2"/>
        <v>0.10256410256410253</v>
      </c>
    </row>
    <row r="189" spans="1:23" x14ac:dyDescent="0.2">
      <c r="A189" s="1" t="s">
        <v>211</v>
      </c>
      <c r="B189" s="1" t="s">
        <v>202</v>
      </c>
      <c r="C189" s="1">
        <v>317.68732191956701</v>
      </c>
      <c r="D189" s="5">
        <v>14.5</v>
      </c>
      <c r="E189" s="4">
        <v>88.852469946963197</v>
      </c>
      <c r="F189" s="4">
        <v>1016.01641876582</v>
      </c>
      <c r="G189" s="1">
        <v>32</v>
      </c>
      <c r="H189" s="1">
        <v>18</v>
      </c>
      <c r="I189" s="7">
        <v>7</v>
      </c>
      <c r="J189" s="1">
        <v>10</v>
      </c>
      <c r="K189" s="1">
        <v>3</v>
      </c>
      <c r="L189" s="4">
        <v>10.9146164383562</v>
      </c>
      <c r="M189" s="4">
        <v>0.86352040816326525</v>
      </c>
      <c r="N189" s="8">
        <v>280</v>
      </c>
      <c r="O189" s="8">
        <v>91</v>
      </c>
      <c r="P189" s="5">
        <v>4.6533333333333298</v>
      </c>
      <c r="Q189" s="5">
        <v>0.139333333333333</v>
      </c>
      <c r="R189" s="1">
        <v>74</v>
      </c>
      <c r="S189" s="1">
        <v>52.746280120000002</v>
      </c>
      <c r="T189" s="1">
        <v>0.93133166000000001</v>
      </c>
      <c r="U189" s="1">
        <v>0</v>
      </c>
      <c r="V189" s="1">
        <v>1</v>
      </c>
      <c r="W189" s="4">
        <f t="shared" si="2"/>
        <v>0.13647959183673475</v>
      </c>
    </row>
    <row r="190" spans="1:23" x14ac:dyDescent="0.2">
      <c r="A190" s="1" t="s">
        <v>212</v>
      </c>
      <c r="B190" s="1" t="s">
        <v>202</v>
      </c>
      <c r="C190" s="1">
        <v>640.68891376249996</v>
      </c>
      <c r="D190" s="5">
        <v>15.133333333333301</v>
      </c>
      <c r="E190" s="4">
        <v>2138.4010130505299</v>
      </c>
      <c r="F190" s="4">
        <v>740.33404292105104</v>
      </c>
      <c r="G190" s="1">
        <v>4</v>
      </c>
      <c r="H190" s="1">
        <v>20</v>
      </c>
      <c r="I190" s="7">
        <v>6</v>
      </c>
      <c r="J190" s="1">
        <v>9</v>
      </c>
      <c r="K190" s="1">
        <v>0</v>
      </c>
      <c r="L190" s="4">
        <v>10.9146164383562</v>
      </c>
      <c r="M190" s="4">
        <v>0.87404580152671751</v>
      </c>
      <c r="N190" s="8">
        <v>75</v>
      </c>
      <c r="O190" s="8">
        <v>57.2</v>
      </c>
      <c r="P190" s="5">
        <v>3.85</v>
      </c>
      <c r="Q190" s="5">
        <v>0.56066666666666698</v>
      </c>
      <c r="R190" s="1">
        <v>92</v>
      </c>
      <c r="S190" s="1">
        <v>52.74760465</v>
      </c>
      <c r="T190" s="1">
        <v>0.89831439000000002</v>
      </c>
      <c r="U190" s="1">
        <v>0</v>
      </c>
      <c r="V190" s="1">
        <v>1</v>
      </c>
      <c r="W190" s="4">
        <f t="shared" si="2"/>
        <v>0.12595419847328249</v>
      </c>
    </row>
    <row r="191" spans="1:23" x14ac:dyDescent="0.2">
      <c r="A191" s="1" t="s">
        <v>213</v>
      </c>
      <c r="B191" s="1" t="s">
        <v>202</v>
      </c>
      <c r="C191" s="1">
        <v>146.49840705166699</v>
      </c>
      <c r="D191" s="5">
        <v>19.733333333333299</v>
      </c>
      <c r="E191" s="4">
        <v>1208.18769743351</v>
      </c>
      <c r="F191" s="4">
        <v>10362.880378796301</v>
      </c>
      <c r="G191" s="1">
        <v>40</v>
      </c>
      <c r="H191" s="1">
        <v>14</v>
      </c>
      <c r="I191" s="7">
        <v>4</v>
      </c>
      <c r="J191" s="1">
        <v>3</v>
      </c>
      <c r="K191" s="1">
        <v>2</v>
      </c>
      <c r="L191" s="4">
        <v>10.9146164383562</v>
      </c>
      <c r="M191" s="4">
        <v>0.8928571428571429</v>
      </c>
      <c r="N191" s="8">
        <v>220</v>
      </c>
      <c r="O191" s="8">
        <v>28.4</v>
      </c>
      <c r="P191" s="5">
        <v>2.7066666666666701</v>
      </c>
      <c r="Q191" s="5">
        <v>0.81333333333333302</v>
      </c>
      <c r="R191" s="1">
        <v>94</v>
      </c>
      <c r="S191" s="1">
        <v>52.753869940000001</v>
      </c>
      <c r="T191" s="1">
        <v>0.89841926000000005</v>
      </c>
      <c r="U191" s="1">
        <v>0</v>
      </c>
      <c r="V191" s="1">
        <v>0</v>
      </c>
      <c r="W191" s="4">
        <f t="shared" si="2"/>
        <v>0.1071428571428571</v>
      </c>
    </row>
    <row r="192" spans="1:23" x14ac:dyDescent="0.2">
      <c r="A192" s="1" t="s">
        <v>214</v>
      </c>
      <c r="B192" s="1" t="s">
        <v>202</v>
      </c>
      <c r="C192" s="1">
        <v>382.14392298941698</v>
      </c>
      <c r="D192" s="5">
        <v>29.8</v>
      </c>
      <c r="E192" s="4">
        <v>11.1246265535157</v>
      </c>
      <c r="F192" s="4">
        <v>976.70618663525795</v>
      </c>
      <c r="G192" s="1">
        <v>20</v>
      </c>
      <c r="H192" s="1">
        <v>13</v>
      </c>
      <c r="I192" s="7">
        <v>4</v>
      </c>
      <c r="J192" s="1">
        <v>13</v>
      </c>
      <c r="K192" s="1">
        <v>2</v>
      </c>
      <c r="L192" s="4">
        <v>10.980890410958899</v>
      </c>
      <c r="M192" s="4">
        <v>0.86310299869621898</v>
      </c>
      <c r="N192" s="8">
        <v>290</v>
      </c>
      <c r="O192" s="8">
        <v>98.4</v>
      </c>
      <c r="P192" s="5">
        <v>1.96</v>
      </c>
      <c r="Q192" s="5">
        <v>0.150666666666667</v>
      </c>
      <c r="R192" s="1">
        <v>98</v>
      </c>
      <c r="S192" s="1">
        <v>52.797299350000003</v>
      </c>
      <c r="T192" s="1">
        <v>1.12759448</v>
      </c>
      <c r="U192" s="1">
        <v>0</v>
      </c>
      <c r="V192" s="1">
        <v>1</v>
      </c>
      <c r="W192" s="4">
        <f t="shared" si="2"/>
        <v>0.13689700130378102</v>
      </c>
    </row>
    <row r="193" spans="1:23" x14ac:dyDescent="0.2">
      <c r="A193" s="1" t="s">
        <v>215</v>
      </c>
      <c r="B193" s="1" t="s">
        <v>202</v>
      </c>
      <c r="C193" s="1">
        <v>341.71730203024998</v>
      </c>
      <c r="D193" s="5">
        <v>29.5</v>
      </c>
      <c r="E193" s="4">
        <v>50.820963151022099</v>
      </c>
      <c r="F193" s="4">
        <v>5053.4474679416498</v>
      </c>
      <c r="G193" s="1">
        <v>18</v>
      </c>
      <c r="H193" s="1">
        <v>15</v>
      </c>
      <c r="I193" s="7">
        <v>8</v>
      </c>
      <c r="J193" s="1">
        <v>13</v>
      </c>
      <c r="K193" s="1">
        <v>3</v>
      </c>
      <c r="L193" s="4">
        <v>10.9146164383562</v>
      </c>
      <c r="M193" s="4">
        <v>0.87630208333333337</v>
      </c>
      <c r="N193" s="8">
        <v>160</v>
      </c>
      <c r="O193" s="8">
        <v>131.19999999999999</v>
      </c>
      <c r="P193" s="5">
        <v>1.86333333333333</v>
      </c>
      <c r="Q193" s="5">
        <v>0.10566666666666701</v>
      </c>
      <c r="R193" s="1">
        <v>97.5</v>
      </c>
      <c r="S193" s="1">
        <v>52.797741479999999</v>
      </c>
      <c r="T193" s="1">
        <v>1.1203708800000001</v>
      </c>
      <c r="U193" s="1">
        <v>0</v>
      </c>
      <c r="V193" s="1">
        <v>1</v>
      </c>
      <c r="W193" s="4">
        <f t="shared" si="2"/>
        <v>0.12369791666666663</v>
      </c>
    </row>
    <row r="194" spans="1:23" x14ac:dyDescent="0.2">
      <c r="A194" s="1" t="s">
        <v>216</v>
      </c>
      <c r="B194" s="1" t="s">
        <v>202</v>
      </c>
      <c r="C194" s="1">
        <v>809.86927600416698</v>
      </c>
      <c r="D194" s="5">
        <v>41.7</v>
      </c>
      <c r="E194" s="4">
        <v>37.838915793977698</v>
      </c>
      <c r="F194" s="4">
        <v>1216.19360334001</v>
      </c>
      <c r="G194" s="1">
        <v>16</v>
      </c>
      <c r="H194" s="1">
        <v>15</v>
      </c>
      <c r="I194" s="7">
        <v>10</v>
      </c>
      <c r="J194" s="1">
        <v>10</v>
      </c>
      <c r="K194" s="1">
        <v>2</v>
      </c>
      <c r="L194" s="4">
        <v>10.980890410958899</v>
      </c>
      <c r="M194" s="4">
        <v>0.84555984555984554</v>
      </c>
      <c r="N194" s="8">
        <v>550</v>
      </c>
      <c r="O194" s="8">
        <v>142.80000000000001</v>
      </c>
      <c r="P194" s="5">
        <v>2.2733333333333299</v>
      </c>
      <c r="Q194" s="5">
        <v>0.14199999999999999</v>
      </c>
      <c r="R194" s="1">
        <v>98</v>
      </c>
      <c r="S194" s="1">
        <v>52.783519779999999</v>
      </c>
      <c r="T194" s="1">
        <v>1.1629299200000001</v>
      </c>
      <c r="U194" s="1">
        <v>1</v>
      </c>
      <c r="V194" s="1">
        <v>1</v>
      </c>
      <c r="W194" s="4">
        <f t="shared" ref="W194:W207" si="3">1-M194</f>
        <v>0.15444015444015446</v>
      </c>
    </row>
    <row r="195" spans="1:23" x14ac:dyDescent="0.2">
      <c r="A195" s="1" t="s">
        <v>217</v>
      </c>
      <c r="B195" s="1" t="s">
        <v>202</v>
      </c>
      <c r="C195" s="1">
        <v>164.22574333930001</v>
      </c>
      <c r="D195" s="5">
        <v>59.4</v>
      </c>
      <c r="E195" s="4">
        <v>108.232322469775</v>
      </c>
      <c r="F195" s="4">
        <v>828.268554747704</v>
      </c>
      <c r="G195" s="1">
        <v>14</v>
      </c>
      <c r="H195" s="1">
        <v>12</v>
      </c>
      <c r="I195" s="7">
        <v>8</v>
      </c>
      <c r="J195" s="1">
        <v>12</v>
      </c>
      <c r="K195" s="1">
        <v>2</v>
      </c>
      <c r="L195" s="4">
        <v>10.980890410958899</v>
      </c>
      <c r="M195" s="4">
        <v>0.84555984555984554</v>
      </c>
      <c r="N195" s="8">
        <v>180</v>
      </c>
      <c r="O195" s="8">
        <v>67</v>
      </c>
      <c r="P195" s="5">
        <v>1.2566666666666699</v>
      </c>
      <c r="Q195" s="5">
        <v>9.1999999999999998E-2</v>
      </c>
      <c r="R195" s="1">
        <v>92</v>
      </c>
      <c r="S195" s="1">
        <v>52.784249690000003</v>
      </c>
      <c r="T195" s="1">
        <v>1.16253791</v>
      </c>
      <c r="U195" s="1">
        <v>1</v>
      </c>
      <c r="V195" s="1">
        <v>1</v>
      </c>
      <c r="W195" s="4">
        <f t="shared" si="3"/>
        <v>0.15444015444015446</v>
      </c>
    </row>
    <row r="196" spans="1:23" x14ac:dyDescent="0.2">
      <c r="A196" s="1" t="s">
        <v>218</v>
      </c>
      <c r="B196" s="1" t="s">
        <v>202</v>
      </c>
      <c r="C196" s="1">
        <v>231.90894457666701</v>
      </c>
      <c r="D196" s="5">
        <v>32.200000000000003</v>
      </c>
      <c r="E196" s="4">
        <v>245.832801004602</v>
      </c>
      <c r="F196" s="4">
        <v>1380.8453764777</v>
      </c>
      <c r="G196" s="1">
        <v>33</v>
      </c>
      <c r="H196" s="1">
        <v>24</v>
      </c>
      <c r="I196" s="7">
        <v>9</v>
      </c>
      <c r="J196" s="1">
        <v>13</v>
      </c>
      <c r="K196" s="1">
        <v>2</v>
      </c>
      <c r="L196" s="4">
        <v>10.9146164383562</v>
      </c>
      <c r="M196" s="4">
        <v>0.87874837027379404</v>
      </c>
      <c r="N196" s="8">
        <v>350</v>
      </c>
      <c r="O196" s="8">
        <v>69.2</v>
      </c>
      <c r="P196" s="5">
        <v>1.80666666666667</v>
      </c>
      <c r="Q196" s="5">
        <v>0.05</v>
      </c>
      <c r="R196" s="1">
        <v>94</v>
      </c>
      <c r="S196" s="1">
        <v>52.784615340000002</v>
      </c>
      <c r="T196" s="1">
        <v>1.0350047200000001</v>
      </c>
      <c r="U196" s="1">
        <v>0</v>
      </c>
      <c r="V196" s="1">
        <v>1</v>
      </c>
      <c r="W196" s="4">
        <f t="shared" si="3"/>
        <v>0.12125162972620596</v>
      </c>
    </row>
    <row r="197" spans="1:23" x14ac:dyDescent="0.2">
      <c r="A197" s="1" t="s">
        <v>219</v>
      </c>
      <c r="B197" s="1" t="s">
        <v>202</v>
      </c>
      <c r="C197" s="1">
        <v>483.1942197125</v>
      </c>
      <c r="D197" s="5">
        <v>11.05</v>
      </c>
      <c r="E197" s="4">
        <v>36.769608280782798</v>
      </c>
      <c r="F197" s="4">
        <v>1169.8051599087601</v>
      </c>
      <c r="G197" s="1">
        <v>33</v>
      </c>
      <c r="H197" s="1">
        <v>23</v>
      </c>
      <c r="I197" s="7">
        <v>6</v>
      </c>
      <c r="J197" s="1">
        <v>9</v>
      </c>
      <c r="K197" s="1">
        <v>2</v>
      </c>
      <c r="L197" s="4">
        <v>10.9146164383562</v>
      </c>
      <c r="M197" s="4">
        <v>0.87532467532467528</v>
      </c>
      <c r="N197" s="8">
        <v>120</v>
      </c>
      <c r="O197" s="8">
        <v>87.8</v>
      </c>
      <c r="P197" s="5">
        <v>1.40333333333333</v>
      </c>
      <c r="Q197" s="5">
        <v>7.4333333333333307E-2</v>
      </c>
      <c r="R197" s="1">
        <v>85</v>
      </c>
      <c r="S197" s="1">
        <v>52.77792814</v>
      </c>
      <c r="T197" s="1">
        <v>1.03275955</v>
      </c>
      <c r="U197" s="1">
        <v>0</v>
      </c>
      <c r="V197" s="1">
        <v>1</v>
      </c>
      <c r="W197" s="4">
        <f t="shared" si="3"/>
        <v>0.12467532467532472</v>
      </c>
    </row>
    <row r="198" spans="1:23" x14ac:dyDescent="0.2">
      <c r="A198" s="1" t="s">
        <v>220</v>
      </c>
      <c r="B198" s="1" t="s">
        <v>202</v>
      </c>
      <c r="C198" s="1">
        <v>503.46103516833301</v>
      </c>
      <c r="D198" s="5">
        <v>12.6</v>
      </c>
      <c r="E198" s="4"/>
      <c r="F198" s="4">
        <v>1990.82024147169</v>
      </c>
      <c r="G198" s="1">
        <v>33</v>
      </c>
      <c r="H198" s="1">
        <v>12</v>
      </c>
      <c r="I198" s="7">
        <v>1</v>
      </c>
      <c r="J198" s="1">
        <v>10</v>
      </c>
      <c r="K198" s="1">
        <v>0</v>
      </c>
      <c r="L198" s="4">
        <v>11.002684931506799</v>
      </c>
      <c r="M198" s="4">
        <v>1.179144385026738</v>
      </c>
      <c r="N198" s="8">
        <v>600</v>
      </c>
      <c r="O198" s="8">
        <v>134.4</v>
      </c>
      <c r="P198" s="5">
        <v>2.2566666666666699</v>
      </c>
      <c r="Q198" s="5">
        <v>0.189</v>
      </c>
      <c r="R198" s="1">
        <v>94</v>
      </c>
      <c r="S198" s="1">
        <v>53.612596099999998</v>
      </c>
      <c r="T198" s="1">
        <v>-2.8824124499999999</v>
      </c>
      <c r="U198" s="1">
        <v>1</v>
      </c>
      <c r="V198" s="1">
        <v>1</v>
      </c>
      <c r="W198" s="4">
        <f t="shared" si="3"/>
        <v>-0.17914438502673802</v>
      </c>
    </row>
    <row r="199" spans="1:23" x14ac:dyDescent="0.2">
      <c r="A199" s="1" t="s">
        <v>221</v>
      </c>
      <c r="B199" s="1" t="s">
        <v>202</v>
      </c>
      <c r="C199" s="1">
        <v>726.80846094213302</v>
      </c>
      <c r="D199" s="5">
        <v>63.4</v>
      </c>
      <c r="E199" s="4">
        <v>118.34164419554899</v>
      </c>
      <c r="F199" s="4">
        <v>728.10238634535494</v>
      </c>
      <c r="G199" s="1">
        <v>23</v>
      </c>
      <c r="H199" s="1">
        <v>10</v>
      </c>
      <c r="I199" s="7">
        <v>5</v>
      </c>
      <c r="J199" s="1">
        <v>8</v>
      </c>
      <c r="K199" s="1">
        <v>3</v>
      </c>
      <c r="L199" s="4">
        <v>11.002684931506799</v>
      </c>
      <c r="M199" s="4">
        <v>1.1823056300268096</v>
      </c>
      <c r="N199" s="8">
        <v>130</v>
      </c>
      <c r="O199" s="8">
        <v>101.2</v>
      </c>
      <c r="P199" s="5">
        <v>3.0366666666666702</v>
      </c>
      <c r="Q199" s="5">
        <v>0.19966666666666699</v>
      </c>
      <c r="R199" s="1">
        <v>98</v>
      </c>
      <c r="S199" s="1">
        <v>53.599702540000003</v>
      </c>
      <c r="T199" s="1">
        <v>-2.8792876299999999</v>
      </c>
      <c r="U199" s="1">
        <v>1</v>
      </c>
      <c r="V199" s="1">
        <v>1</v>
      </c>
      <c r="W199" s="4">
        <f t="shared" si="3"/>
        <v>-0.18230563002680955</v>
      </c>
    </row>
    <row r="200" spans="1:23" x14ac:dyDescent="0.2">
      <c r="A200" s="1" t="s">
        <v>222</v>
      </c>
      <c r="B200" s="1" t="s">
        <v>202</v>
      </c>
      <c r="C200" s="1">
        <v>579.66569692500002</v>
      </c>
      <c r="D200" s="5">
        <v>39</v>
      </c>
      <c r="E200" s="4">
        <v>19.0606014191656</v>
      </c>
      <c r="F200" s="4">
        <v>696.17159405450002</v>
      </c>
      <c r="G200" s="1">
        <v>54</v>
      </c>
      <c r="H200" s="1">
        <v>8</v>
      </c>
      <c r="I200" s="7">
        <v>6</v>
      </c>
      <c r="J200" s="1">
        <v>10</v>
      </c>
      <c r="K200" s="1">
        <v>0</v>
      </c>
      <c r="L200" s="4">
        <v>11.002684931506799</v>
      </c>
      <c r="M200" s="4">
        <v>1.1276315789473683</v>
      </c>
      <c r="N200" s="8">
        <v>85</v>
      </c>
      <c r="O200" s="8">
        <v>138.6</v>
      </c>
      <c r="P200" s="5">
        <v>6</v>
      </c>
      <c r="Q200" s="5">
        <v>0.18533333333333299</v>
      </c>
      <c r="R200" s="1">
        <v>97</v>
      </c>
      <c r="S200" s="1">
        <v>53.572531120000001</v>
      </c>
      <c r="T200" s="1">
        <v>-2.9221101100000002</v>
      </c>
      <c r="U200" s="1">
        <v>0</v>
      </c>
      <c r="V200" s="1">
        <v>1</v>
      </c>
      <c r="W200" s="4">
        <f t="shared" si="3"/>
        <v>-0.12763157894736832</v>
      </c>
    </row>
    <row r="201" spans="1:23" x14ac:dyDescent="0.2">
      <c r="A201" s="1" t="s">
        <v>223</v>
      </c>
      <c r="B201" s="1" t="s">
        <v>202</v>
      </c>
      <c r="C201" s="1">
        <v>959.46324717419998</v>
      </c>
      <c r="D201" s="5">
        <v>36.6</v>
      </c>
      <c r="E201" s="4">
        <v>695.16953718421701</v>
      </c>
      <c r="F201" s="4">
        <v>3695.3659100418799</v>
      </c>
      <c r="G201" s="1">
        <v>48</v>
      </c>
      <c r="H201" s="1">
        <v>20</v>
      </c>
      <c r="I201" s="7">
        <v>5</v>
      </c>
      <c r="J201" s="1">
        <v>4</v>
      </c>
      <c r="K201" s="1">
        <v>2</v>
      </c>
      <c r="L201" s="4">
        <v>11.002684931506799</v>
      </c>
      <c r="M201" s="4">
        <v>1.1968295904887714</v>
      </c>
      <c r="N201" s="8">
        <v>600</v>
      </c>
      <c r="O201" s="8">
        <v>56.8</v>
      </c>
      <c r="P201" s="5">
        <v>2.2799999999999998</v>
      </c>
      <c r="Q201" s="5">
        <v>0.28299999999999997</v>
      </c>
      <c r="R201" s="1">
        <v>23</v>
      </c>
      <c r="S201" s="1">
        <v>53.563239920000001</v>
      </c>
      <c r="T201" s="1">
        <v>-2.9111580699999999</v>
      </c>
      <c r="U201" s="1">
        <v>0</v>
      </c>
      <c r="V201" s="1">
        <v>1</v>
      </c>
      <c r="W201" s="4">
        <f t="shared" si="3"/>
        <v>-0.19682959048877136</v>
      </c>
    </row>
    <row r="202" spans="1:23" x14ac:dyDescent="0.2">
      <c r="A202" s="1" t="s">
        <v>224</v>
      </c>
      <c r="B202" s="1" t="s">
        <v>202</v>
      </c>
      <c r="C202" s="1">
        <v>919.76231101099995</v>
      </c>
      <c r="D202" s="5">
        <v>24.2</v>
      </c>
      <c r="E202" s="4"/>
      <c r="F202" s="4">
        <v>158.49776638487501</v>
      </c>
      <c r="G202" s="1">
        <v>75</v>
      </c>
      <c r="H202" s="1">
        <v>18</v>
      </c>
      <c r="I202" s="7">
        <v>4</v>
      </c>
      <c r="J202" s="1">
        <v>4</v>
      </c>
      <c r="K202" s="1">
        <v>0</v>
      </c>
      <c r="L202" s="4">
        <v>10.8258356164384</v>
      </c>
      <c r="M202" s="4">
        <v>0.94590846047156729</v>
      </c>
      <c r="N202" s="8">
        <v>265</v>
      </c>
      <c r="O202" s="8">
        <v>70</v>
      </c>
      <c r="P202" s="5">
        <v>3.5</v>
      </c>
      <c r="Q202" s="5">
        <v>0.44366666666666699</v>
      </c>
      <c r="R202" s="1">
        <v>62</v>
      </c>
      <c r="S202" s="1">
        <v>53.168004889999999</v>
      </c>
      <c r="T202" s="1">
        <v>-2.88500508</v>
      </c>
      <c r="U202" s="1">
        <v>1</v>
      </c>
      <c r="V202" s="1">
        <v>1</v>
      </c>
      <c r="W202" s="4">
        <f t="shared" si="3"/>
        <v>5.4091539528432708E-2</v>
      </c>
    </row>
    <row r="203" spans="1:23" x14ac:dyDescent="0.2">
      <c r="A203" s="1" t="s">
        <v>225</v>
      </c>
      <c r="B203" s="1" t="s">
        <v>202</v>
      </c>
      <c r="C203" s="1">
        <v>386.28784872916702</v>
      </c>
      <c r="D203" s="5">
        <v>19.899999999999999</v>
      </c>
      <c r="E203" s="4">
        <v>95.481483153134107</v>
      </c>
      <c r="F203" s="4">
        <v>1271.48375595579</v>
      </c>
      <c r="G203" s="1">
        <v>36</v>
      </c>
      <c r="H203" s="1">
        <v>15</v>
      </c>
      <c r="I203" s="7">
        <v>11</v>
      </c>
      <c r="J203" s="1">
        <v>12</v>
      </c>
      <c r="K203" s="1">
        <v>4</v>
      </c>
      <c r="L203" s="4">
        <v>10.899863013698599</v>
      </c>
      <c r="M203" s="4">
        <v>0.95156695156695159</v>
      </c>
      <c r="N203" s="8">
        <v>4000</v>
      </c>
      <c r="O203" s="8">
        <v>122.2</v>
      </c>
      <c r="P203" s="5">
        <v>1.7233333333333301</v>
      </c>
      <c r="Q203" s="5">
        <v>8.8333333333333305E-2</v>
      </c>
      <c r="R203" s="1">
        <v>98</v>
      </c>
      <c r="S203" s="1">
        <v>53.141020249999997</v>
      </c>
      <c r="T203" s="1">
        <v>-2.8363722</v>
      </c>
      <c r="U203" s="1">
        <v>1</v>
      </c>
      <c r="V203" s="1">
        <v>1</v>
      </c>
      <c r="W203" s="4">
        <f t="shared" si="3"/>
        <v>4.8433048433048409E-2</v>
      </c>
    </row>
    <row r="204" spans="1:23" x14ac:dyDescent="0.2">
      <c r="A204" s="1" t="s">
        <v>226</v>
      </c>
      <c r="B204" s="1" t="s">
        <v>202</v>
      </c>
      <c r="C204" s="1">
        <v>234.52362696575</v>
      </c>
      <c r="D204" s="5">
        <v>13.3333333333333</v>
      </c>
      <c r="E204" s="4">
        <v>373.934193923745</v>
      </c>
      <c r="F204" s="4">
        <v>299.08772322262797</v>
      </c>
      <c r="G204" s="1">
        <v>40</v>
      </c>
      <c r="H204" s="1">
        <v>15</v>
      </c>
      <c r="I204" s="7">
        <v>7</v>
      </c>
      <c r="J204" s="1">
        <v>11</v>
      </c>
      <c r="K204" s="1">
        <v>3</v>
      </c>
      <c r="L204" s="4">
        <v>10.899863013698599</v>
      </c>
      <c r="M204" s="4">
        <v>0.94886363636363635</v>
      </c>
      <c r="N204" s="8">
        <v>540</v>
      </c>
      <c r="O204" s="8">
        <v>111.8</v>
      </c>
      <c r="P204" s="5">
        <v>1.86333333333333</v>
      </c>
      <c r="Q204" s="5">
        <v>0.200333333333333</v>
      </c>
      <c r="R204" s="1">
        <v>97</v>
      </c>
      <c r="S204" s="1">
        <v>53.14061804</v>
      </c>
      <c r="T204" s="1">
        <v>-2.8436896200000001</v>
      </c>
      <c r="U204" s="1">
        <v>0</v>
      </c>
      <c r="V204" s="1">
        <v>1</v>
      </c>
      <c r="W204" s="4">
        <f t="shared" si="3"/>
        <v>5.1136363636363646E-2</v>
      </c>
    </row>
    <row r="205" spans="1:23" x14ac:dyDescent="0.2">
      <c r="A205" s="1" t="s">
        <v>227</v>
      </c>
      <c r="B205" s="1" t="s">
        <v>202</v>
      </c>
      <c r="C205" s="1">
        <v>1096.65562663883</v>
      </c>
      <c r="D205" s="5">
        <v>57.566666666666698</v>
      </c>
      <c r="E205" s="4">
        <v>148.52363372795401</v>
      </c>
      <c r="F205" s="4">
        <v>228.12057905431701</v>
      </c>
      <c r="G205" s="1">
        <v>22</v>
      </c>
      <c r="H205" s="1">
        <v>14</v>
      </c>
      <c r="I205" s="7">
        <v>5</v>
      </c>
      <c r="J205" s="1">
        <v>9</v>
      </c>
      <c r="K205" s="1">
        <v>3</v>
      </c>
      <c r="L205" s="4">
        <v>10.899863013698599</v>
      </c>
      <c r="M205" s="4">
        <v>0.94886363636363635</v>
      </c>
      <c r="N205" s="8">
        <v>580</v>
      </c>
      <c r="O205" s="8">
        <v>70.400000000000006</v>
      </c>
      <c r="P205" s="5">
        <v>3.1466666666666701</v>
      </c>
      <c r="Q205" s="5">
        <v>0.32666666666666699</v>
      </c>
      <c r="R205" s="1">
        <v>25</v>
      </c>
      <c r="S205" s="1">
        <v>53.139108020000002</v>
      </c>
      <c r="T205" s="1">
        <v>-2.8624807400000001</v>
      </c>
      <c r="U205" s="1">
        <v>0</v>
      </c>
      <c r="V205" s="1">
        <v>1</v>
      </c>
      <c r="W205" s="4">
        <f t="shared" si="3"/>
        <v>5.1136363636363646E-2</v>
      </c>
    </row>
    <row r="206" spans="1:23" x14ac:dyDescent="0.2">
      <c r="A206" s="1" t="s">
        <v>228</v>
      </c>
      <c r="B206" s="1" t="s">
        <v>202</v>
      </c>
      <c r="C206" s="1">
        <v>204.2301324339</v>
      </c>
      <c r="D206" s="5">
        <v>30.966666666666701</v>
      </c>
      <c r="E206" s="4">
        <v>2.1849820620684999</v>
      </c>
      <c r="F206" s="4">
        <v>349.097548228942</v>
      </c>
      <c r="G206" s="1">
        <v>9</v>
      </c>
      <c r="H206" s="1">
        <v>10</v>
      </c>
      <c r="I206" s="7">
        <v>6</v>
      </c>
      <c r="J206" s="1">
        <v>9</v>
      </c>
      <c r="K206" s="1">
        <v>2</v>
      </c>
      <c r="L206" s="4">
        <v>10.6985068493151</v>
      </c>
      <c r="M206" s="4">
        <v>0.93333333333333335</v>
      </c>
      <c r="N206" s="8">
        <v>1200</v>
      </c>
      <c r="O206" s="8">
        <v>198.4</v>
      </c>
      <c r="P206" s="5">
        <v>1.9166666666666701</v>
      </c>
      <c r="Q206" s="5">
        <v>0.101333333333333</v>
      </c>
      <c r="R206" s="1">
        <v>96</v>
      </c>
      <c r="S206" s="1">
        <v>53.10657724</v>
      </c>
      <c r="T206" s="1">
        <v>-2.8610528099999999</v>
      </c>
      <c r="U206" s="1">
        <v>1</v>
      </c>
      <c r="V206" s="1">
        <v>1</v>
      </c>
      <c r="W206" s="4">
        <f t="shared" si="3"/>
        <v>6.6666666666666652E-2</v>
      </c>
    </row>
    <row r="207" spans="1:23" x14ac:dyDescent="0.2">
      <c r="A207" s="1" t="s">
        <v>229</v>
      </c>
      <c r="B207" s="1" t="s">
        <v>202</v>
      </c>
      <c r="C207" s="1">
        <v>689.79148695724996</v>
      </c>
      <c r="D207" s="5">
        <v>49.733333333333299</v>
      </c>
      <c r="E207" s="4">
        <v>312.732472129793</v>
      </c>
      <c r="F207" s="4">
        <v>1929.83325249773</v>
      </c>
      <c r="G207" s="1">
        <v>25</v>
      </c>
      <c r="H207" s="1">
        <v>17</v>
      </c>
      <c r="I207" s="7">
        <v>7</v>
      </c>
      <c r="J207" s="1">
        <v>11</v>
      </c>
      <c r="K207" s="1">
        <v>2</v>
      </c>
      <c r="L207" s="4">
        <v>10.6985068493151</v>
      </c>
      <c r="M207" s="4">
        <v>0.93333333333333335</v>
      </c>
      <c r="N207" s="8">
        <v>200</v>
      </c>
      <c r="O207" s="8">
        <v>69.599999999999994</v>
      </c>
      <c r="P207" s="5">
        <v>4.51</v>
      </c>
      <c r="Q207" s="5">
        <v>0.74966666666666704</v>
      </c>
      <c r="R207" s="1">
        <v>97</v>
      </c>
      <c r="S207" s="1">
        <v>53.105315619999999</v>
      </c>
      <c r="T207" s="1">
        <v>-2.8589961399999999</v>
      </c>
      <c r="U207" s="1">
        <v>1</v>
      </c>
      <c r="V207" s="1">
        <v>1</v>
      </c>
      <c r="W207" s="4">
        <f t="shared" si="3"/>
        <v>6.6666666666666652E-2</v>
      </c>
    </row>
  </sheetData>
  <autoFilter ref="A1:V207" xr:uid="{4C75DA30-2FDB-7A4D-B3BF-2844CF413D3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95689-760D-1D47-AF03-526B69B9637A}">
  <dimension ref="A1:Z207"/>
  <sheetViews>
    <sheetView workbookViewId="0">
      <selection sqref="A1:B1048576"/>
    </sheetView>
  </sheetViews>
  <sheetFormatPr baseColWidth="10" defaultRowHeight="14" x14ac:dyDescent="0.15"/>
  <cols>
    <col min="1" max="16384" width="10.83203125" style="1"/>
  </cols>
  <sheetData>
    <row r="1" spans="1:26" ht="15" x14ac:dyDescent="0.1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230</v>
      </c>
      <c r="G1" s="3" t="s">
        <v>231</v>
      </c>
      <c r="H1" s="3" t="s">
        <v>5</v>
      </c>
      <c r="I1" s="3" t="s">
        <v>6</v>
      </c>
      <c r="J1" s="3" t="s">
        <v>234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237</v>
      </c>
      <c r="P1" s="1" t="s">
        <v>238</v>
      </c>
      <c r="Q1" s="1" t="s">
        <v>13</v>
      </c>
      <c r="R1" s="1" t="s">
        <v>14</v>
      </c>
      <c r="S1" s="1" t="s">
        <v>232</v>
      </c>
      <c r="T1" s="1" t="s">
        <v>233</v>
      </c>
      <c r="U1" s="1" t="s">
        <v>236</v>
      </c>
      <c r="V1" s="1" t="s">
        <v>15</v>
      </c>
      <c r="W1" s="1" t="s">
        <v>16</v>
      </c>
      <c r="X1" s="1" t="s">
        <v>11</v>
      </c>
      <c r="Y1" s="1" t="s">
        <v>12</v>
      </c>
      <c r="Z1" s="1" t="s">
        <v>235</v>
      </c>
    </row>
    <row r="2" spans="1:26" x14ac:dyDescent="0.15">
      <c r="A2" s="1" t="s">
        <v>17</v>
      </c>
      <c r="B2" s="1" t="s">
        <v>18</v>
      </c>
      <c r="C2" s="1">
        <v>0.29262370387732073</v>
      </c>
      <c r="D2" s="1">
        <v>1.3173892787539788E-2</v>
      </c>
      <c r="E2" s="1">
        <v>4.2954999999999997</v>
      </c>
      <c r="F2" s="1">
        <v>67.771079457519093</v>
      </c>
      <c r="G2" s="4"/>
      <c r="H2" s="4">
        <v>137.29117748165501</v>
      </c>
      <c r="I2" s="4">
        <v>679.098707407544</v>
      </c>
      <c r="J2" s="1">
        <v>25</v>
      </c>
      <c r="K2" s="1">
        <v>13</v>
      </c>
      <c r="L2" s="7">
        <v>4</v>
      </c>
      <c r="M2" s="1">
        <v>7</v>
      </c>
      <c r="N2" s="1">
        <v>6</v>
      </c>
      <c r="O2" s="4">
        <v>11.381136986301399</v>
      </c>
      <c r="P2" s="4">
        <v>0.9464285714285714</v>
      </c>
      <c r="Q2" s="8">
        <v>702</v>
      </c>
      <c r="R2" s="8">
        <v>50</v>
      </c>
      <c r="S2" s="5">
        <v>1.8</v>
      </c>
      <c r="T2" s="5">
        <v>3.7999999999999999E-2</v>
      </c>
      <c r="U2" s="1">
        <v>80</v>
      </c>
      <c r="V2" s="1">
        <v>51.327590000000001</v>
      </c>
      <c r="W2" s="1">
        <v>5.0323700000000002</v>
      </c>
      <c r="X2" s="1">
        <v>1</v>
      </c>
      <c r="Y2" s="1">
        <v>1</v>
      </c>
      <c r="Z2" s="4">
        <f>1-P2</f>
        <v>5.3571428571428603E-2</v>
      </c>
    </row>
    <row r="3" spans="1:26" x14ac:dyDescent="0.15">
      <c r="A3" s="1" t="s">
        <v>19</v>
      </c>
      <c r="B3" s="1" t="s">
        <v>18</v>
      </c>
      <c r="C3" s="1">
        <v>0.2769831076837278</v>
      </c>
      <c r="D3" s="1">
        <v>1.728018300550415E-2</v>
      </c>
      <c r="E3" s="1">
        <v>5.3042499999999997</v>
      </c>
      <c r="F3" s="1">
        <v>424.76299792974999</v>
      </c>
      <c r="G3" s="5">
        <v>75.898589490000006</v>
      </c>
      <c r="H3" s="4">
        <v>349.756070519118</v>
      </c>
      <c r="I3" s="4">
        <v>489.19846965725202</v>
      </c>
      <c r="J3" s="1">
        <v>25</v>
      </c>
      <c r="K3" s="1">
        <v>12</v>
      </c>
      <c r="L3" s="7">
        <v>4</v>
      </c>
      <c r="M3" s="1">
        <v>7</v>
      </c>
      <c r="N3" s="1">
        <v>3</v>
      </c>
      <c r="O3" s="4">
        <v>11.381136986301399</v>
      </c>
      <c r="P3" s="4">
        <v>0.94868735083532219</v>
      </c>
      <c r="Q3" s="8">
        <v>336</v>
      </c>
      <c r="R3" s="8">
        <v>56.88</v>
      </c>
      <c r="S3" s="5">
        <v>3.2749999999999999</v>
      </c>
      <c r="T3" s="5">
        <v>0.49399999999999999</v>
      </c>
      <c r="U3" s="1">
        <v>55</v>
      </c>
      <c r="V3" s="1">
        <v>51.329039999999999</v>
      </c>
      <c r="W3" s="1">
        <v>5.0027499999999998</v>
      </c>
      <c r="X3" s="1">
        <v>0</v>
      </c>
      <c r="Y3" s="1">
        <v>1</v>
      </c>
      <c r="Z3" s="4">
        <f t="shared" ref="Z3:Z66" si="0">1-P3</f>
        <v>5.1312649164677815E-2</v>
      </c>
    </row>
    <row r="4" spans="1:26" x14ac:dyDescent="0.15">
      <c r="A4" s="1" t="s">
        <v>20</v>
      </c>
      <c r="B4" s="1" t="s">
        <v>18</v>
      </c>
      <c r="C4" s="1">
        <v>0.36342729325347645</v>
      </c>
      <c r="D4" s="1">
        <v>1.1245791600556103E-2</v>
      </c>
      <c r="E4" s="1">
        <v>1.1545000000000001</v>
      </c>
      <c r="F4" s="1">
        <v>532.20922607666705</v>
      </c>
      <c r="G4" s="5">
        <v>60.118659007250002</v>
      </c>
      <c r="H4" s="4">
        <v>375.94073296159598</v>
      </c>
      <c r="I4" s="4">
        <v>109.30484723294801</v>
      </c>
      <c r="J4" s="1">
        <v>75</v>
      </c>
      <c r="K4" s="1">
        <v>10</v>
      </c>
      <c r="L4" s="7">
        <v>5</v>
      </c>
      <c r="M4" s="1">
        <v>6</v>
      </c>
      <c r="N4" s="1">
        <v>6</v>
      </c>
      <c r="O4" s="4">
        <v>11.381136986301399</v>
      </c>
      <c r="P4" s="4">
        <v>0.94299287410926369</v>
      </c>
      <c r="Q4" s="8">
        <v>882</v>
      </c>
      <c r="R4" s="8">
        <v>38.57</v>
      </c>
      <c r="S4" s="5">
        <v>1.8</v>
      </c>
      <c r="T4" s="5">
        <v>5.8000000000000003E-2</v>
      </c>
      <c r="U4" s="1">
        <v>40</v>
      </c>
      <c r="V4" s="1">
        <v>51.36215</v>
      </c>
      <c r="W4" s="1">
        <v>5.0325600000000001</v>
      </c>
      <c r="X4" s="1">
        <v>1</v>
      </c>
      <c r="Y4" s="1">
        <v>1</v>
      </c>
      <c r="Z4" s="4">
        <f t="shared" si="0"/>
        <v>5.700712589073631E-2</v>
      </c>
    </row>
    <row r="5" spans="1:26" x14ac:dyDescent="0.15">
      <c r="A5" s="1" t="s">
        <v>21</v>
      </c>
      <c r="B5" s="1" t="s">
        <v>18</v>
      </c>
      <c r="C5" s="1">
        <v>0.28283192400139012</v>
      </c>
      <c r="D5" s="1">
        <v>1.9364378763686026E-2</v>
      </c>
      <c r="E5" s="1">
        <v>1.3111666664999999</v>
      </c>
      <c r="F5" s="1">
        <v>148.71383458939999</v>
      </c>
      <c r="G5" s="5">
        <v>438.94683885749998</v>
      </c>
      <c r="H5" s="4">
        <v>1613.1627053350701</v>
      </c>
      <c r="I5" s="4">
        <v>294.86967319616099</v>
      </c>
      <c r="J5" s="1">
        <v>25</v>
      </c>
      <c r="K5" s="1">
        <v>11</v>
      </c>
      <c r="L5" s="7">
        <v>4</v>
      </c>
      <c r="M5" s="1">
        <v>4</v>
      </c>
      <c r="N5" s="1">
        <v>6</v>
      </c>
      <c r="O5" s="4">
        <v>11.381136986301399</v>
      </c>
      <c r="P5" s="4">
        <v>0.95005945303210459</v>
      </c>
      <c r="Q5" s="8">
        <v>180</v>
      </c>
      <c r="R5" s="8">
        <v>32.5</v>
      </c>
      <c r="S5" s="5">
        <v>3.25</v>
      </c>
      <c r="T5" s="5">
        <v>2.125</v>
      </c>
      <c r="U5" s="1">
        <v>80</v>
      </c>
      <c r="V5" s="1">
        <v>51.3581</v>
      </c>
      <c r="W5" s="1">
        <v>4.9220100000000002</v>
      </c>
      <c r="X5" s="1">
        <v>1</v>
      </c>
      <c r="Y5" s="1">
        <v>1</v>
      </c>
      <c r="Z5" s="4">
        <f t="shared" si="0"/>
        <v>4.9940546967895405E-2</v>
      </c>
    </row>
    <row r="6" spans="1:26" x14ac:dyDescent="0.15">
      <c r="A6" s="1" t="s">
        <v>22</v>
      </c>
      <c r="B6" s="1" t="s">
        <v>18</v>
      </c>
      <c r="C6" s="1">
        <v>0.34324993380801594</v>
      </c>
      <c r="D6" s="1">
        <v>7.2110113776810226E-3</v>
      </c>
      <c r="F6" s="1">
        <v>356.75320759766697</v>
      </c>
      <c r="G6" s="5">
        <v>187.96446930499999</v>
      </c>
      <c r="H6" s="4">
        <v>125.09757696375399</v>
      </c>
      <c r="I6" s="4">
        <v>1610.5485591157501</v>
      </c>
      <c r="J6" s="1">
        <v>5</v>
      </c>
      <c r="K6" s="1">
        <v>16</v>
      </c>
      <c r="L6" s="7">
        <v>4</v>
      </c>
      <c r="M6" s="1">
        <v>7</v>
      </c>
      <c r="N6" s="1">
        <v>5</v>
      </c>
      <c r="O6" s="4">
        <v>11.381136986301399</v>
      </c>
      <c r="P6" s="4">
        <v>0.94411414982164088</v>
      </c>
      <c r="Q6" s="8">
        <v>4250</v>
      </c>
      <c r="R6" s="8">
        <v>28.5</v>
      </c>
      <c r="S6" s="5">
        <v>3.0750000000000002</v>
      </c>
      <c r="T6" s="5">
        <v>0.89300000000000002</v>
      </c>
      <c r="U6" s="1">
        <v>47</v>
      </c>
      <c r="V6" s="1">
        <v>51.34308</v>
      </c>
      <c r="W6" s="1">
        <v>5.01675</v>
      </c>
      <c r="X6" s="1">
        <v>1</v>
      </c>
      <c r="Y6" s="1">
        <v>1</v>
      </c>
      <c r="Z6" s="4">
        <f t="shared" si="0"/>
        <v>5.588585017835912E-2</v>
      </c>
    </row>
    <row r="7" spans="1:26" x14ac:dyDescent="0.15">
      <c r="A7" s="1" t="s">
        <v>23</v>
      </c>
      <c r="B7" s="1" t="s">
        <v>18</v>
      </c>
      <c r="C7" s="1">
        <v>0.36428101540889213</v>
      </c>
      <c r="D7" s="1">
        <v>2.2312563027062804E-2</v>
      </c>
      <c r="E7" s="1">
        <v>2.7989999999999999</v>
      </c>
      <c r="F7" s="1">
        <v>261.44938665866698</v>
      </c>
      <c r="G7" s="5">
        <v>413.38949763750003</v>
      </c>
      <c r="H7" s="4">
        <v>100.892460847141</v>
      </c>
      <c r="I7" s="4">
        <v>31.6186080851291</v>
      </c>
      <c r="J7" s="1">
        <v>100</v>
      </c>
      <c r="K7" s="1">
        <v>7</v>
      </c>
      <c r="L7" s="7">
        <v>8</v>
      </c>
      <c r="M7" s="1">
        <v>9</v>
      </c>
      <c r="N7" s="1">
        <v>5</v>
      </c>
      <c r="O7" s="4">
        <v>11.381136986301399</v>
      </c>
      <c r="P7" s="4">
        <v>0.94868735083532219</v>
      </c>
      <c r="Q7" s="8">
        <v>990</v>
      </c>
      <c r="R7" s="8">
        <v>59.75</v>
      </c>
      <c r="S7" s="5">
        <v>1.325</v>
      </c>
      <c r="T7" s="5">
        <v>6.6000000000000003E-2</v>
      </c>
      <c r="U7" s="1">
        <v>40</v>
      </c>
      <c r="V7" s="1">
        <v>51.326819999999998</v>
      </c>
      <c r="W7" s="1">
        <v>5.0066199999999998</v>
      </c>
      <c r="X7" s="1">
        <v>1</v>
      </c>
      <c r="Y7" s="1">
        <v>1</v>
      </c>
      <c r="Z7" s="4">
        <f t="shared" si="0"/>
        <v>5.1312649164677815E-2</v>
      </c>
    </row>
    <row r="8" spans="1:26" x14ac:dyDescent="0.15">
      <c r="A8" s="1" t="s">
        <v>24</v>
      </c>
      <c r="B8" s="1" t="s">
        <v>18</v>
      </c>
      <c r="C8" s="1">
        <v>0.38578284661396822</v>
      </c>
      <c r="E8" s="1">
        <v>5.2277500000000003</v>
      </c>
      <c r="F8" s="1">
        <v>631.55730261079998</v>
      </c>
      <c r="G8" s="5">
        <v>64.959723317500007</v>
      </c>
      <c r="H8" s="4">
        <v>39.654330517013399</v>
      </c>
      <c r="I8" s="4">
        <v>1035.8110634915099</v>
      </c>
      <c r="J8" s="1">
        <v>50</v>
      </c>
      <c r="K8" s="1">
        <v>15</v>
      </c>
      <c r="L8" s="7">
        <v>5</v>
      </c>
      <c r="M8" s="1">
        <v>14</v>
      </c>
      <c r="N8" s="1">
        <v>4</v>
      </c>
      <c r="O8" s="4">
        <v>11.447863013698599</v>
      </c>
      <c r="P8" s="4">
        <v>0.89028571428571424</v>
      </c>
      <c r="Q8" s="8">
        <v>495</v>
      </c>
      <c r="R8" s="8">
        <v>85</v>
      </c>
      <c r="S8" s="5">
        <v>1.2749999999999999</v>
      </c>
      <c r="T8" s="5">
        <v>0.114</v>
      </c>
      <c r="U8" s="1">
        <v>85</v>
      </c>
      <c r="V8" s="1">
        <v>50.957790000000003</v>
      </c>
      <c r="W8" s="1">
        <v>5.0231700000000004</v>
      </c>
      <c r="X8" s="1">
        <v>1</v>
      </c>
      <c r="Y8" s="1">
        <v>1</v>
      </c>
      <c r="Z8" s="4">
        <f t="shared" si="0"/>
        <v>0.10971428571428576</v>
      </c>
    </row>
    <row r="9" spans="1:26" x14ac:dyDescent="0.15">
      <c r="A9" s="1" t="s">
        <v>25</v>
      </c>
      <c r="B9" s="1" t="s">
        <v>18</v>
      </c>
      <c r="C9" s="1">
        <v>0.37698049223301666</v>
      </c>
      <c r="D9" s="1">
        <v>3.1507334824313588E-2</v>
      </c>
      <c r="E9" s="1">
        <v>1.6909166664999999</v>
      </c>
      <c r="F9" s="1">
        <v>472.36489259989997</v>
      </c>
      <c r="G9" s="5">
        <v>37.616469139000003</v>
      </c>
      <c r="H9" s="4">
        <v>1.61355956777626</v>
      </c>
      <c r="I9" s="4">
        <v>1084.1817217072</v>
      </c>
      <c r="J9" s="1">
        <v>50</v>
      </c>
      <c r="K9" s="1">
        <v>18</v>
      </c>
      <c r="L9" s="7">
        <v>7</v>
      </c>
      <c r="M9" s="1">
        <v>11</v>
      </c>
      <c r="N9" s="1">
        <v>5</v>
      </c>
      <c r="O9" s="4">
        <v>11.4726301369863</v>
      </c>
      <c r="P9" s="4">
        <v>0.88528389339513325</v>
      </c>
      <c r="Q9" s="8">
        <v>64</v>
      </c>
      <c r="R9" s="8">
        <v>115.71</v>
      </c>
      <c r="S9" s="5">
        <v>1.625</v>
      </c>
      <c r="T9" s="5">
        <v>5.8999999999999997E-2</v>
      </c>
      <c r="U9" s="1">
        <v>30</v>
      </c>
      <c r="V9" s="1">
        <v>50.973260000000003</v>
      </c>
      <c r="W9" s="1">
        <v>4.79223</v>
      </c>
      <c r="X9" s="1">
        <v>1</v>
      </c>
      <c r="Y9" s="1">
        <v>1</v>
      </c>
      <c r="Z9" s="4">
        <f t="shared" si="0"/>
        <v>0.11471610660486675</v>
      </c>
    </row>
    <row r="10" spans="1:26" x14ac:dyDescent="0.15">
      <c r="A10" s="1" t="s">
        <v>26</v>
      </c>
      <c r="B10" s="1" t="s">
        <v>18</v>
      </c>
      <c r="C10" s="1">
        <v>0.38705615337454147</v>
      </c>
      <c r="D10" s="1">
        <v>4.7399755263134315E-2</v>
      </c>
      <c r="E10" s="1">
        <v>5.2149999999999999</v>
      </c>
      <c r="F10" s="1">
        <v>893.34159570033296</v>
      </c>
      <c r="G10" s="5">
        <v>175.7510105575</v>
      </c>
      <c r="H10" s="4">
        <v>3.95034281884233</v>
      </c>
      <c r="I10" s="4">
        <v>42.3868890074395</v>
      </c>
      <c r="J10" s="1">
        <v>75</v>
      </c>
      <c r="K10" s="1">
        <v>9</v>
      </c>
      <c r="L10" s="7">
        <v>3</v>
      </c>
      <c r="M10" s="1">
        <v>8</v>
      </c>
      <c r="N10" s="1">
        <v>4</v>
      </c>
      <c r="O10" s="4">
        <v>11.447863013698599</v>
      </c>
      <c r="P10" s="4">
        <v>0.88597491448118582</v>
      </c>
      <c r="Q10" s="8">
        <v>650</v>
      </c>
      <c r="R10" s="8">
        <v>65.5</v>
      </c>
      <c r="S10" s="5">
        <v>1.85</v>
      </c>
      <c r="T10" s="5">
        <v>0.68600000000000005</v>
      </c>
      <c r="U10" s="1">
        <v>100</v>
      </c>
      <c r="V10" s="1">
        <v>50.962739999999997</v>
      </c>
      <c r="W10" s="1">
        <v>5.0418200000000004</v>
      </c>
      <c r="X10" s="1">
        <v>1</v>
      </c>
      <c r="Y10" s="1">
        <v>1</v>
      </c>
      <c r="Z10" s="4">
        <f t="shared" si="0"/>
        <v>0.11402508551881418</v>
      </c>
    </row>
    <row r="11" spans="1:26" x14ac:dyDescent="0.15">
      <c r="A11" s="1" t="s">
        <v>27</v>
      </c>
      <c r="B11" s="1" t="s">
        <v>18</v>
      </c>
      <c r="C11" s="1">
        <v>0.3014155331104702</v>
      </c>
      <c r="E11" s="1">
        <v>1.4141666664999999</v>
      </c>
      <c r="F11" s="1">
        <v>424.69468774400002</v>
      </c>
      <c r="G11" s="5">
        <v>382.985334325</v>
      </c>
      <c r="H11" s="4">
        <v>8.3402725896455401</v>
      </c>
      <c r="I11" s="4">
        <v>242.609479393295</v>
      </c>
      <c r="J11" s="1">
        <v>25</v>
      </c>
      <c r="K11" s="1">
        <v>7</v>
      </c>
      <c r="L11" s="7">
        <v>7</v>
      </c>
      <c r="M11" s="1">
        <v>4</v>
      </c>
      <c r="N11" s="1">
        <v>1</v>
      </c>
      <c r="O11" s="4">
        <v>11.447863013698599</v>
      </c>
      <c r="P11" s="4">
        <v>0.88696655132641289</v>
      </c>
      <c r="Q11" s="8">
        <v>250</v>
      </c>
      <c r="R11" s="8">
        <v>94.88</v>
      </c>
      <c r="S11" s="5">
        <v>2.0499999999999998</v>
      </c>
      <c r="T11" s="5">
        <v>9.4E-2</v>
      </c>
      <c r="U11" s="1">
        <v>100</v>
      </c>
      <c r="V11" s="1">
        <v>50.881729999999997</v>
      </c>
      <c r="W11" s="1">
        <v>4.9111799999999999</v>
      </c>
      <c r="X11" s="1">
        <v>1</v>
      </c>
      <c r="Y11" s="1">
        <v>1</v>
      </c>
      <c r="Z11" s="4">
        <f t="shared" si="0"/>
        <v>0.11303344867358711</v>
      </c>
    </row>
    <row r="12" spans="1:26" x14ac:dyDescent="0.15">
      <c r="A12" s="1" t="s">
        <v>28</v>
      </c>
      <c r="B12" s="1" t="s">
        <v>18</v>
      </c>
      <c r="C12" s="1">
        <v>0.29396139043910896</v>
      </c>
      <c r="D12" s="1">
        <v>3.0410862295514741E-2</v>
      </c>
      <c r="E12" s="1">
        <v>22.140333335000001</v>
      </c>
      <c r="F12" s="1">
        <v>433.36067320450002</v>
      </c>
      <c r="G12" s="5">
        <v>191.031156495</v>
      </c>
      <c r="H12" s="4">
        <v>58.661660286406203</v>
      </c>
      <c r="I12" s="4">
        <v>257.068247774805</v>
      </c>
      <c r="J12" s="1">
        <v>5</v>
      </c>
      <c r="K12" s="1">
        <v>7</v>
      </c>
      <c r="L12" s="7">
        <v>6</v>
      </c>
      <c r="M12" s="1">
        <v>4</v>
      </c>
      <c r="N12" s="1">
        <v>2</v>
      </c>
      <c r="O12" s="4">
        <v>11.4726301369863</v>
      </c>
      <c r="P12" s="4">
        <v>0.88221709006928406</v>
      </c>
      <c r="Q12" s="8">
        <v>169</v>
      </c>
      <c r="R12" s="8">
        <v>77.75</v>
      </c>
      <c r="S12" s="5">
        <v>6.625</v>
      </c>
      <c r="T12" s="5">
        <v>7.1999999999999995E-2</v>
      </c>
      <c r="U12" s="1">
        <v>90</v>
      </c>
      <c r="V12" s="1">
        <v>50.965510000000002</v>
      </c>
      <c r="W12" s="1">
        <v>4.8310700000000004</v>
      </c>
      <c r="X12" s="1">
        <v>1</v>
      </c>
      <c r="Y12" s="1">
        <v>1</v>
      </c>
      <c r="Z12" s="4">
        <f t="shared" si="0"/>
        <v>0.11778290993071594</v>
      </c>
    </row>
    <row r="13" spans="1:26" x14ac:dyDescent="0.15">
      <c r="A13" s="1" t="s">
        <v>29</v>
      </c>
      <c r="B13" s="1" t="s">
        <v>18</v>
      </c>
      <c r="C13" s="1">
        <v>0.2774793494092701</v>
      </c>
      <c r="D13" s="1">
        <v>2.998308071928241E-2</v>
      </c>
      <c r="E13" s="1">
        <v>3.4788333334999999</v>
      </c>
      <c r="F13" s="1">
        <v>521.21030823083299</v>
      </c>
      <c r="G13" s="5">
        <v>265.81603645000001</v>
      </c>
      <c r="H13" s="4">
        <v>0.64400000000000002</v>
      </c>
      <c r="I13" s="4">
        <v>4.8608935524447796</v>
      </c>
      <c r="J13" s="1">
        <v>25</v>
      </c>
      <c r="K13" s="1">
        <v>5</v>
      </c>
      <c r="L13" s="7">
        <v>3</v>
      </c>
      <c r="M13" s="1">
        <v>2</v>
      </c>
      <c r="N13" s="1">
        <v>2</v>
      </c>
      <c r="O13" s="4">
        <v>11.447863013698599</v>
      </c>
      <c r="P13" s="4">
        <v>0.8810068649885584</v>
      </c>
      <c r="Q13" s="8">
        <v>98</v>
      </c>
      <c r="R13" s="8">
        <v>42.5</v>
      </c>
      <c r="S13" s="5">
        <v>4.0999999999999996</v>
      </c>
      <c r="T13" s="5">
        <v>1.8420000000000001</v>
      </c>
      <c r="U13" s="1">
        <v>95</v>
      </c>
      <c r="V13" s="1">
        <v>50.928890000000003</v>
      </c>
      <c r="W13" s="1">
        <v>4.9429499999999997</v>
      </c>
      <c r="X13" s="1">
        <v>0</v>
      </c>
      <c r="Y13" s="1">
        <v>1</v>
      </c>
      <c r="Z13" s="4">
        <f t="shared" si="0"/>
        <v>0.1189931350114416</v>
      </c>
    </row>
    <row r="14" spans="1:26" x14ac:dyDescent="0.15">
      <c r="A14" s="1" t="s">
        <v>30</v>
      </c>
      <c r="B14" s="1" t="s">
        <v>18</v>
      </c>
      <c r="C14" s="1">
        <v>0.26246422699562821</v>
      </c>
      <c r="D14" s="1">
        <v>8.0059439687313952E-3</v>
      </c>
      <c r="E14" s="1">
        <v>0.64516666700000003</v>
      </c>
      <c r="F14" s="1">
        <v>255.43365660278599</v>
      </c>
      <c r="G14" s="5">
        <v>8.2737613369999998</v>
      </c>
      <c r="H14" s="4">
        <v>200.22772199764901</v>
      </c>
      <c r="I14" s="4">
        <v>88.142149279711603</v>
      </c>
      <c r="J14" s="1">
        <v>75</v>
      </c>
      <c r="K14" s="1">
        <v>10</v>
      </c>
      <c r="L14" s="7">
        <v>5</v>
      </c>
      <c r="M14" s="1">
        <v>5</v>
      </c>
      <c r="N14" s="1">
        <v>4</v>
      </c>
      <c r="O14" s="4">
        <v>11.4184657534247</v>
      </c>
      <c r="P14" s="4">
        <v>0.85868263473053896</v>
      </c>
      <c r="Q14" s="8">
        <v>798</v>
      </c>
      <c r="R14" s="8">
        <v>88.88</v>
      </c>
      <c r="S14" s="5">
        <v>1.2</v>
      </c>
      <c r="T14" s="5">
        <v>4.8000000000000001E-2</v>
      </c>
      <c r="U14" s="1">
        <v>60</v>
      </c>
      <c r="V14" s="1">
        <v>51.170580000000001</v>
      </c>
      <c r="W14" s="1">
        <v>5.6590800000000003</v>
      </c>
      <c r="X14" s="1">
        <v>1</v>
      </c>
      <c r="Y14" s="1">
        <v>0</v>
      </c>
      <c r="Z14" s="4">
        <f t="shared" si="0"/>
        <v>0.14131736526946104</v>
      </c>
    </row>
    <row r="15" spans="1:26" x14ac:dyDescent="0.15">
      <c r="A15" s="1" t="s">
        <v>31</v>
      </c>
      <c r="B15" s="1" t="s">
        <v>18</v>
      </c>
      <c r="C15" s="1">
        <v>0.36077691734476114</v>
      </c>
      <c r="D15" s="1">
        <v>3.198251193669905E-2</v>
      </c>
      <c r="E15" s="1">
        <v>6.9773333334999998</v>
      </c>
      <c r="F15" s="1">
        <v>1444.97275676902</v>
      </c>
      <c r="G15" s="5">
        <v>135.59290448749999</v>
      </c>
      <c r="H15" s="4">
        <v>9.8455655305115304</v>
      </c>
      <c r="I15" s="4">
        <v>5126.8739765551099</v>
      </c>
      <c r="J15" s="1">
        <v>25</v>
      </c>
      <c r="K15" s="1">
        <v>15</v>
      </c>
      <c r="L15" s="7">
        <v>5</v>
      </c>
      <c r="M15" s="1">
        <v>14</v>
      </c>
      <c r="N15" s="1">
        <v>5</v>
      </c>
      <c r="O15" s="4">
        <v>11.4184657534247</v>
      </c>
      <c r="P15" s="4">
        <v>0.84826762246117082</v>
      </c>
      <c r="Q15" s="8">
        <v>1200</v>
      </c>
      <c r="R15" s="8">
        <v>79.38</v>
      </c>
      <c r="S15" s="5">
        <v>3.25</v>
      </c>
      <c r="T15" s="5">
        <v>0.65900000000000003</v>
      </c>
      <c r="U15" s="1">
        <v>60</v>
      </c>
      <c r="V15" s="1">
        <v>51.169069999999998</v>
      </c>
      <c r="W15" s="1">
        <v>5.6730400000000003</v>
      </c>
      <c r="X15" s="1">
        <v>1</v>
      </c>
      <c r="Y15" s="1">
        <v>1</v>
      </c>
      <c r="Z15" s="4">
        <f t="shared" si="0"/>
        <v>0.15173237753882918</v>
      </c>
    </row>
    <row r="16" spans="1:26" x14ac:dyDescent="0.15">
      <c r="A16" s="1" t="s">
        <v>32</v>
      </c>
      <c r="B16" s="1" t="s">
        <v>18</v>
      </c>
      <c r="C16" s="1">
        <v>0.47196042918357572</v>
      </c>
      <c r="E16" s="1">
        <v>0.25716666649999997</v>
      </c>
      <c r="F16" s="1">
        <v>435.51898463449999</v>
      </c>
      <c r="G16" s="5">
        <v>77.222706763999994</v>
      </c>
      <c r="H16" s="4">
        <v>35.534349523560302</v>
      </c>
      <c r="I16" s="4">
        <v>636.58686754530402</v>
      </c>
      <c r="J16" s="1">
        <v>25</v>
      </c>
      <c r="K16" s="1">
        <v>21</v>
      </c>
      <c r="L16" s="7">
        <v>7</v>
      </c>
      <c r="M16" s="1">
        <v>17</v>
      </c>
      <c r="N16" s="1">
        <v>3</v>
      </c>
      <c r="O16" s="4">
        <v>11.4184657534247</v>
      </c>
      <c r="P16" s="4">
        <v>0.85868263473053896</v>
      </c>
      <c r="Q16" s="8">
        <v>928</v>
      </c>
      <c r="R16" s="8">
        <v>74.63</v>
      </c>
      <c r="S16" s="5">
        <v>2.125</v>
      </c>
      <c r="T16" s="5">
        <v>0.79400000000000004</v>
      </c>
      <c r="U16" s="1">
        <v>30</v>
      </c>
      <c r="V16" s="1">
        <v>51.199660000000002</v>
      </c>
      <c r="W16" s="1">
        <v>5.6295500000000001</v>
      </c>
      <c r="X16" s="1">
        <v>1</v>
      </c>
      <c r="Y16" s="1">
        <v>1</v>
      </c>
      <c r="Z16" s="4">
        <f t="shared" si="0"/>
        <v>0.14131736526946104</v>
      </c>
    </row>
    <row r="17" spans="1:26" x14ac:dyDescent="0.15">
      <c r="A17" s="1" t="s">
        <v>33</v>
      </c>
      <c r="B17" s="1" t="s">
        <v>18</v>
      </c>
      <c r="C17" s="1">
        <v>0.34518790808513067</v>
      </c>
      <c r="E17" s="1">
        <v>18.545666664999999</v>
      </c>
      <c r="F17" s="1">
        <v>969.786562269</v>
      </c>
      <c r="G17" s="5">
        <v>34.5122710375</v>
      </c>
      <c r="H17" s="4">
        <v>23.047105979532901</v>
      </c>
      <c r="I17" s="4">
        <v>58.395403504429503</v>
      </c>
      <c r="J17" s="1">
        <v>75</v>
      </c>
      <c r="K17" s="1">
        <v>11</v>
      </c>
      <c r="L17" s="7">
        <v>6</v>
      </c>
      <c r="M17" s="1">
        <v>9</v>
      </c>
      <c r="N17" s="1">
        <v>4</v>
      </c>
      <c r="O17" s="4">
        <v>11.4184657534247</v>
      </c>
      <c r="P17" s="4">
        <v>0.86074429771908767</v>
      </c>
      <c r="Q17" s="8">
        <v>380</v>
      </c>
      <c r="R17" s="8">
        <v>83.75</v>
      </c>
      <c r="S17" s="5">
        <v>1.85</v>
      </c>
      <c r="T17" s="5">
        <v>0.29299999999999998</v>
      </c>
      <c r="U17" s="1">
        <v>55</v>
      </c>
      <c r="V17" s="1">
        <v>51.179870000000001</v>
      </c>
      <c r="W17" s="1">
        <v>5.6294000000000004</v>
      </c>
      <c r="X17" s="1">
        <v>0</v>
      </c>
      <c r="Y17" s="1">
        <v>1</v>
      </c>
      <c r="Z17" s="4">
        <f t="shared" si="0"/>
        <v>0.13925570228091233</v>
      </c>
    </row>
    <row r="18" spans="1:26" x14ac:dyDescent="0.15">
      <c r="A18" s="1" t="s">
        <v>34</v>
      </c>
      <c r="B18" s="1" t="s">
        <v>18</v>
      </c>
      <c r="C18" s="1">
        <v>0.39885243237800072</v>
      </c>
      <c r="E18" s="1">
        <v>8.9999999999999993E-3</v>
      </c>
      <c r="F18" s="1">
        <v>21.8330575118</v>
      </c>
      <c r="G18" s="4"/>
      <c r="H18" s="4">
        <v>0.23403284399999999</v>
      </c>
      <c r="I18" s="4">
        <v>5277.1230324305297</v>
      </c>
      <c r="J18" s="1">
        <v>100</v>
      </c>
      <c r="K18" s="1">
        <v>15</v>
      </c>
      <c r="L18" s="7">
        <v>3</v>
      </c>
      <c r="M18" s="1">
        <v>6</v>
      </c>
      <c r="N18" s="1">
        <v>4</v>
      </c>
      <c r="O18" s="4">
        <v>11.4184657534247</v>
      </c>
      <c r="P18" s="4">
        <v>0.85491606714628299</v>
      </c>
      <c r="Q18" s="8">
        <v>1500</v>
      </c>
      <c r="R18" s="8">
        <v>17.88</v>
      </c>
      <c r="S18" s="5">
        <v>3.1</v>
      </c>
      <c r="T18" s="5">
        <v>0.35599999999999998</v>
      </c>
      <c r="U18" s="1">
        <v>80</v>
      </c>
      <c r="V18" s="1">
        <v>51.164389999999997</v>
      </c>
      <c r="W18" s="1">
        <v>5.6683500000000002</v>
      </c>
      <c r="X18" s="1">
        <v>1</v>
      </c>
      <c r="Y18" s="1">
        <v>0</v>
      </c>
      <c r="Z18" s="4">
        <f t="shared" si="0"/>
        <v>0.14508393285371701</v>
      </c>
    </row>
    <row r="19" spans="1:26" x14ac:dyDescent="0.15">
      <c r="A19" s="1" t="s">
        <v>35</v>
      </c>
      <c r="B19" s="1" t="s">
        <v>18</v>
      </c>
      <c r="E19" s="1">
        <v>2.8202500000000001</v>
      </c>
      <c r="F19" s="1">
        <v>15.157669910499999</v>
      </c>
      <c r="G19" s="4"/>
      <c r="H19" s="4">
        <v>140.33968808369801</v>
      </c>
      <c r="I19" s="4">
        <v>137.52816112489401</v>
      </c>
      <c r="J19" s="1">
        <v>25</v>
      </c>
      <c r="K19" s="1">
        <v>9</v>
      </c>
      <c r="L19" s="7">
        <v>6</v>
      </c>
      <c r="M19" s="1">
        <v>2</v>
      </c>
      <c r="N19" s="1">
        <v>4</v>
      </c>
      <c r="O19" s="4">
        <v>11.3930410958904</v>
      </c>
      <c r="P19" s="4">
        <v>0.87575392038600719</v>
      </c>
      <c r="Q19" s="8">
        <v>108</v>
      </c>
      <c r="R19" s="8">
        <v>44.25</v>
      </c>
      <c r="S19" s="5">
        <v>2</v>
      </c>
      <c r="T19" s="5">
        <v>0.10199999999999999</v>
      </c>
      <c r="U19" s="1">
        <v>73</v>
      </c>
      <c r="V19" s="1">
        <v>51.194609999999997</v>
      </c>
      <c r="W19" s="1">
        <v>5.60548</v>
      </c>
      <c r="X19" s="1">
        <v>1</v>
      </c>
      <c r="Y19" s="1">
        <v>0</v>
      </c>
      <c r="Z19" s="4">
        <f t="shared" si="0"/>
        <v>0.12424607961399281</v>
      </c>
    </row>
    <row r="20" spans="1:26" x14ac:dyDescent="0.15">
      <c r="A20" s="1" t="s">
        <v>36</v>
      </c>
      <c r="B20" s="1" t="s">
        <v>18</v>
      </c>
      <c r="C20" s="1">
        <v>0.43849269886066411</v>
      </c>
      <c r="D20" s="1">
        <v>2.7838747164712834E-2</v>
      </c>
      <c r="E20" s="1">
        <v>1.2423333335</v>
      </c>
      <c r="F20" s="1">
        <v>2256.7611048395001</v>
      </c>
      <c r="G20" s="5">
        <v>105.09977109</v>
      </c>
      <c r="H20" s="4">
        <v>15.012416658628901</v>
      </c>
      <c r="I20" s="4">
        <v>2386.31464229732</v>
      </c>
      <c r="J20" s="1">
        <v>25</v>
      </c>
      <c r="K20" s="1">
        <v>13</v>
      </c>
      <c r="L20" s="1">
        <v>2</v>
      </c>
      <c r="M20" s="1">
        <v>12</v>
      </c>
      <c r="N20" s="1">
        <v>5</v>
      </c>
      <c r="O20" s="4">
        <v>11.427136986301401</v>
      </c>
      <c r="P20" s="4">
        <v>0.93168433451118959</v>
      </c>
      <c r="Q20" s="8">
        <v>342</v>
      </c>
      <c r="R20" s="8">
        <v>59.13</v>
      </c>
      <c r="S20" s="5">
        <v>3.9</v>
      </c>
      <c r="T20" s="5">
        <v>0.93600000000000005</v>
      </c>
      <c r="U20" s="1">
        <v>72</v>
      </c>
      <c r="V20" s="1">
        <v>50.932600000000001</v>
      </c>
      <c r="W20" s="1">
        <v>5.3083600000000004</v>
      </c>
      <c r="X20" s="1">
        <v>1</v>
      </c>
      <c r="Y20" s="1">
        <v>1</v>
      </c>
      <c r="Z20" s="4">
        <f t="shared" si="0"/>
        <v>6.8315665488810406E-2</v>
      </c>
    </row>
    <row r="21" spans="1:26" x14ac:dyDescent="0.15">
      <c r="A21" s="1" t="s">
        <v>37</v>
      </c>
      <c r="B21" s="1" t="s">
        <v>18</v>
      </c>
      <c r="C21" s="1">
        <v>0.41488256491407005</v>
      </c>
      <c r="D21" s="1">
        <v>1.4728083602123493E-2</v>
      </c>
      <c r="E21" s="1">
        <v>8.9414999999999996</v>
      </c>
      <c r="F21" s="1">
        <v>39.951952383833301</v>
      </c>
      <c r="G21" s="5">
        <v>82.570170614999995</v>
      </c>
      <c r="H21" s="4">
        <v>46.002084427563702</v>
      </c>
      <c r="I21" s="4">
        <v>163.584363752255</v>
      </c>
      <c r="J21" s="1">
        <v>25</v>
      </c>
      <c r="K21" s="1">
        <v>18</v>
      </c>
      <c r="L21" s="7">
        <v>4</v>
      </c>
      <c r="M21" s="1">
        <v>11</v>
      </c>
      <c r="N21" s="1">
        <v>4</v>
      </c>
      <c r="O21" s="4">
        <v>11.427136986301401</v>
      </c>
      <c r="P21" s="4">
        <v>0.91958041958041958</v>
      </c>
      <c r="Q21" s="8">
        <v>440</v>
      </c>
      <c r="R21" s="8">
        <v>72.5</v>
      </c>
      <c r="S21" s="5">
        <v>2.9249999999999998</v>
      </c>
      <c r="T21" s="5">
        <v>0.184</v>
      </c>
      <c r="U21" s="1">
        <v>85</v>
      </c>
      <c r="V21" s="1">
        <v>50.881180000000001</v>
      </c>
      <c r="W21" s="1">
        <v>5.2940100000000001</v>
      </c>
      <c r="X21" s="1">
        <v>1</v>
      </c>
      <c r="Y21" s="1">
        <v>1</v>
      </c>
      <c r="Z21" s="4">
        <f t="shared" si="0"/>
        <v>8.0419580419580416E-2</v>
      </c>
    </row>
    <row r="22" spans="1:26" x14ac:dyDescent="0.15">
      <c r="A22" s="1" t="s">
        <v>38</v>
      </c>
      <c r="B22" s="1" t="s">
        <v>18</v>
      </c>
      <c r="G22" s="5">
        <v>195.02995720000001</v>
      </c>
      <c r="H22" s="4">
        <v>397.98201359634902</v>
      </c>
      <c r="I22" s="4">
        <v>36.0672731871012</v>
      </c>
      <c r="J22" s="1">
        <v>75</v>
      </c>
      <c r="K22" s="7">
        <v>7</v>
      </c>
      <c r="L22" s="7">
        <v>4</v>
      </c>
      <c r="M22" s="1">
        <v>3</v>
      </c>
      <c r="N22" s="1">
        <v>4</v>
      </c>
      <c r="O22" s="4">
        <v>11.427136986301401</v>
      </c>
      <c r="P22" s="4">
        <v>0.91405342624854824</v>
      </c>
      <c r="Q22" s="8">
        <v>105</v>
      </c>
      <c r="R22" s="8">
        <v>39.86</v>
      </c>
      <c r="S22" s="5">
        <v>1.1000000000000001</v>
      </c>
      <c r="T22" s="5">
        <v>3.069</v>
      </c>
      <c r="U22" s="1">
        <v>87</v>
      </c>
      <c r="V22" s="1">
        <v>50.930840000000003</v>
      </c>
      <c r="W22" s="1">
        <v>5.2375600000000002</v>
      </c>
      <c r="X22" s="1">
        <v>1</v>
      </c>
      <c r="Y22" s="1">
        <v>1</v>
      </c>
      <c r="Z22" s="4">
        <f t="shared" si="0"/>
        <v>8.594657375145176E-2</v>
      </c>
    </row>
    <row r="23" spans="1:26" x14ac:dyDescent="0.15">
      <c r="A23" s="1" t="s">
        <v>39</v>
      </c>
      <c r="B23" s="1" t="s">
        <v>18</v>
      </c>
      <c r="C23" s="1">
        <v>0.46442374257291774</v>
      </c>
      <c r="E23" s="1">
        <v>6.6484166650000001</v>
      </c>
      <c r="F23" s="1">
        <v>736.76272767421403</v>
      </c>
      <c r="G23" s="5">
        <v>25.693051000000001</v>
      </c>
      <c r="H23" s="4">
        <v>76.206118658038804</v>
      </c>
      <c r="I23" s="4">
        <v>143.704694847832</v>
      </c>
      <c r="J23" s="1">
        <v>75</v>
      </c>
      <c r="K23" s="1">
        <v>10</v>
      </c>
      <c r="L23" s="7">
        <v>5</v>
      </c>
      <c r="M23" s="1">
        <v>12</v>
      </c>
      <c r="N23" s="1">
        <v>4</v>
      </c>
      <c r="O23" s="4">
        <v>11.427136986301401</v>
      </c>
      <c r="P23" s="4">
        <v>0.92388758782201408</v>
      </c>
      <c r="Q23" s="8">
        <v>540</v>
      </c>
      <c r="R23" s="8">
        <v>95</v>
      </c>
      <c r="S23" s="5">
        <v>2.5750000000000002</v>
      </c>
      <c r="T23" s="5">
        <v>0.10100000000000001</v>
      </c>
      <c r="U23" s="1">
        <v>80</v>
      </c>
      <c r="V23" s="1">
        <v>50.890790000000003</v>
      </c>
      <c r="W23" s="1">
        <v>5.31473</v>
      </c>
      <c r="X23" s="1">
        <v>1</v>
      </c>
      <c r="Y23" s="1">
        <v>1</v>
      </c>
      <c r="Z23" s="4">
        <f t="shared" si="0"/>
        <v>7.6112412177985922E-2</v>
      </c>
    </row>
    <row r="24" spans="1:26" x14ac:dyDescent="0.15">
      <c r="A24" s="1" t="s">
        <v>40</v>
      </c>
      <c r="B24" s="1" t="s">
        <v>18</v>
      </c>
      <c r="C24" s="1">
        <v>0.54688446093716436</v>
      </c>
      <c r="E24" s="1">
        <v>19.242333335000001</v>
      </c>
      <c r="F24" s="1">
        <v>228.376767434333</v>
      </c>
      <c r="G24" s="5">
        <v>43.598688545999998</v>
      </c>
      <c r="H24" s="4">
        <v>144.25357968825</v>
      </c>
      <c r="I24" s="4">
        <v>1279.9034439519401</v>
      </c>
      <c r="J24" s="1">
        <v>50</v>
      </c>
      <c r="K24" s="1">
        <v>11</v>
      </c>
      <c r="L24" s="7">
        <v>5</v>
      </c>
      <c r="M24" s="1">
        <v>8</v>
      </c>
      <c r="N24" s="1">
        <v>5</v>
      </c>
      <c r="O24" s="4">
        <v>11.060356164383601</v>
      </c>
      <c r="P24" s="4">
        <v>0.91627906976744189</v>
      </c>
      <c r="Q24" s="8">
        <v>322</v>
      </c>
      <c r="R24" s="8">
        <v>79.38</v>
      </c>
      <c r="S24" s="5">
        <v>1.45</v>
      </c>
      <c r="T24" s="5">
        <v>6.5000000000000002E-2</v>
      </c>
      <c r="U24" s="1">
        <v>90</v>
      </c>
      <c r="V24" s="1">
        <v>50.851320000000001</v>
      </c>
      <c r="W24" s="1">
        <v>5.2191700000000001</v>
      </c>
      <c r="X24" s="1">
        <v>0</v>
      </c>
      <c r="Y24" s="1">
        <v>1</v>
      </c>
      <c r="Z24" s="4">
        <f t="shared" si="0"/>
        <v>8.3720930232558111E-2</v>
      </c>
    </row>
    <row r="25" spans="1:26" x14ac:dyDescent="0.15">
      <c r="A25" s="1" t="s">
        <v>41</v>
      </c>
      <c r="B25" s="1" t="s">
        <v>18</v>
      </c>
      <c r="C25" s="1">
        <v>0.32534479917675896</v>
      </c>
      <c r="E25" s="1">
        <v>0.254</v>
      </c>
      <c r="F25" s="1">
        <v>908.15610980666702</v>
      </c>
      <c r="G25" s="5">
        <v>146.2460383575</v>
      </c>
      <c r="H25" s="4">
        <v>768.83860347268399</v>
      </c>
      <c r="I25" s="4">
        <v>209.48492681153201</v>
      </c>
      <c r="J25" s="1">
        <v>50</v>
      </c>
      <c r="K25" s="1">
        <v>6</v>
      </c>
      <c r="L25" s="7">
        <v>8</v>
      </c>
      <c r="M25" s="1">
        <v>5</v>
      </c>
      <c r="N25" s="1">
        <v>1</v>
      </c>
      <c r="O25" s="4">
        <v>11.427136986301401</v>
      </c>
      <c r="P25" s="4">
        <v>0.91618160651920844</v>
      </c>
      <c r="Q25" s="8">
        <v>96</v>
      </c>
      <c r="R25" s="8">
        <v>38.14</v>
      </c>
      <c r="S25" s="5">
        <v>4.6500000000000004</v>
      </c>
      <c r="T25" s="5">
        <v>0.80100000000000005</v>
      </c>
      <c r="U25" s="1">
        <v>95</v>
      </c>
      <c r="V25" s="1">
        <v>50.933509999999998</v>
      </c>
      <c r="W25" s="1">
        <v>5.2479100000000001</v>
      </c>
      <c r="X25" s="1">
        <v>0</v>
      </c>
      <c r="Y25" s="1">
        <v>0</v>
      </c>
      <c r="Z25" s="4">
        <f t="shared" si="0"/>
        <v>8.3818393480791564E-2</v>
      </c>
    </row>
    <row r="26" spans="1:26" x14ac:dyDescent="0.15">
      <c r="A26" s="1" t="s">
        <v>42</v>
      </c>
      <c r="B26" s="1" t="s">
        <v>18</v>
      </c>
      <c r="G26" s="5">
        <v>53.46141609</v>
      </c>
      <c r="H26" s="4"/>
      <c r="I26" s="4">
        <v>272.338019837248</v>
      </c>
      <c r="J26" s="1">
        <v>25</v>
      </c>
      <c r="K26" s="1">
        <v>6</v>
      </c>
      <c r="L26" s="7">
        <v>7</v>
      </c>
      <c r="M26" s="1">
        <v>3</v>
      </c>
      <c r="N26" s="1">
        <v>1</v>
      </c>
      <c r="O26" s="4">
        <v>11.4292602739726</v>
      </c>
      <c r="P26" s="4">
        <v>0.93357058125741399</v>
      </c>
      <c r="Q26" s="8">
        <v>130</v>
      </c>
      <c r="R26" s="8">
        <v>51.75</v>
      </c>
      <c r="S26" s="5">
        <v>4.3</v>
      </c>
      <c r="T26" s="5">
        <v>3.7080000000000002</v>
      </c>
      <c r="U26" s="1">
        <v>97</v>
      </c>
      <c r="V26" s="1">
        <v>50.984999999999999</v>
      </c>
      <c r="W26" s="1">
        <v>3.83352</v>
      </c>
      <c r="X26" s="1">
        <v>0</v>
      </c>
      <c r="Y26" s="1">
        <v>0</v>
      </c>
      <c r="Z26" s="4">
        <f t="shared" si="0"/>
        <v>6.6429418742586011E-2</v>
      </c>
    </row>
    <row r="27" spans="1:26" x14ac:dyDescent="0.15">
      <c r="A27" s="1" t="s">
        <v>43</v>
      </c>
      <c r="B27" s="1" t="s">
        <v>18</v>
      </c>
      <c r="C27" s="1">
        <v>0.34608349114699488</v>
      </c>
      <c r="E27" s="1">
        <v>3.3570000000000002</v>
      </c>
      <c r="F27" s="1">
        <v>255.27247850238101</v>
      </c>
      <c r="G27" s="5">
        <v>385.35302839000002</v>
      </c>
      <c r="H27" s="4">
        <v>1.0057258761749099</v>
      </c>
      <c r="I27" s="4">
        <v>159.04951966157401</v>
      </c>
      <c r="J27" s="1">
        <v>25</v>
      </c>
      <c r="K27" s="1">
        <v>9</v>
      </c>
      <c r="L27" s="7">
        <v>4</v>
      </c>
      <c r="M27" s="1">
        <v>9</v>
      </c>
      <c r="N27" s="1">
        <v>6</v>
      </c>
      <c r="O27" s="4">
        <v>11.4395890410959</v>
      </c>
      <c r="P27" s="4">
        <v>0.92636579572446553</v>
      </c>
      <c r="Q27" s="8">
        <v>702</v>
      </c>
      <c r="R27" s="8">
        <v>83.63</v>
      </c>
      <c r="S27" s="5">
        <v>3.7</v>
      </c>
      <c r="T27" s="5">
        <v>0.34699999999999998</v>
      </c>
      <c r="U27" s="1">
        <v>93</v>
      </c>
      <c r="V27" s="1">
        <v>51.023969999999998</v>
      </c>
      <c r="W27" s="1">
        <v>3.8845700000000001</v>
      </c>
      <c r="X27" s="1">
        <v>1</v>
      </c>
      <c r="Y27" s="1">
        <v>1</v>
      </c>
      <c r="Z27" s="4">
        <f t="shared" si="0"/>
        <v>7.3634204275534465E-2</v>
      </c>
    </row>
    <row r="28" spans="1:26" x14ac:dyDescent="0.15">
      <c r="A28" s="1" t="s">
        <v>44</v>
      </c>
      <c r="B28" s="1" t="s">
        <v>18</v>
      </c>
      <c r="C28" s="1">
        <v>0.44184605492571993</v>
      </c>
      <c r="D28" s="1">
        <v>2.6170148759964172E-2</v>
      </c>
      <c r="E28" s="1">
        <v>6.8471666664999997</v>
      </c>
      <c r="F28" s="1">
        <v>657.56602352183302</v>
      </c>
      <c r="G28" s="5">
        <v>26.606549907249999</v>
      </c>
      <c r="H28" s="4">
        <v>1.9954556131108201</v>
      </c>
      <c r="I28" s="4">
        <v>962.52653375789498</v>
      </c>
      <c r="J28" s="1">
        <v>100</v>
      </c>
      <c r="K28" s="1">
        <v>25</v>
      </c>
      <c r="L28" s="7">
        <v>4</v>
      </c>
      <c r="M28" s="1">
        <v>9</v>
      </c>
      <c r="N28" s="1">
        <v>6</v>
      </c>
      <c r="O28" s="4">
        <v>11.4395890410959</v>
      </c>
      <c r="P28" s="4">
        <v>0.92951015531660697</v>
      </c>
      <c r="Q28" s="8">
        <v>1200</v>
      </c>
      <c r="R28" s="8">
        <v>98.5</v>
      </c>
      <c r="S28" s="5">
        <v>1.25</v>
      </c>
      <c r="T28" s="5">
        <v>0.13800000000000001</v>
      </c>
      <c r="U28" s="1">
        <v>42</v>
      </c>
      <c r="V28" s="1">
        <v>51.035519999999998</v>
      </c>
      <c r="W28" s="1">
        <v>3.9350499999999999</v>
      </c>
      <c r="X28" s="1">
        <v>1</v>
      </c>
      <c r="Y28" s="1">
        <v>1</v>
      </c>
      <c r="Z28" s="4">
        <f t="shared" si="0"/>
        <v>7.0489844683393033E-2</v>
      </c>
    </row>
    <row r="29" spans="1:26" x14ac:dyDescent="0.15">
      <c r="A29" s="1" t="s">
        <v>45</v>
      </c>
      <c r="B29" s="1" t="s">
        <v>18</v>
      </c>
      <c r="C29" s="1">
        <v>0.46680522400161972</v>
      </c>
      <c r="E29" s="1">
        <v>5.2163333334999997</v>
      </c>
      <c r="F29" s="1">
        <v>332.73454044055001</v>
      </c>
      <c r="G29" s="5">
        <v>83.847327504999996</v>
      </c>
      <c r="H29" s="4">
        <v>7.1898684330256399</v>
      </c>
      <c r="I29" s="4">
        <v>1104.2813692091599</v>
      </c>
      <c r="J29" s="1">
        <v>25</v>
      </c>
      <c r="K29" s="1">
        <v>14</v>
      </c>
      <c r="L29" s="7">
        <v>7</v>
      </c>
      <c r="M29" s="1">
        <v>15</v>
      </c>
      <c r="N29" s="1">
        <v>3</v>
      </c>
      <c r="O29" s="4">
        <v>11.4395890410959</v>
      </c>
      <c r="P29" s="4">
        <v>0.92061611374407581</v>
      </c>
      <c r="Q29" s="8">
        <v>108</v>
      </c>
      <c r="R29" s="8">
        <v>115.63</v>
      </c>
      <c r="S29" s="5">
        <v>1.7250000000000001</v>
      </c>
      <c r="T29" s="5">
        <v>0.30299999999999999</v>
      </c>
      <c r="U29" s="1">
        <v>80</v>
      </c>
      <c r="V29" s="1">
        <v>51.013150000000003</v>
      </c>
      <c r="W29" s="1">
        <v>3.98889</v>
      </c>
      <c r="X29" s="1">
        <v>1</v>
      </c>
      <c r="Y29" s="1">
        <v>1</v>
      </c>
      <c r="Z29" s="4">
        <f t="shared" si="0"/>
        <v>7.9383886255924185E-2</v>
      </c>
    </row>
    <row r="30" spans="1:26" x14ac:dyDescent="0.15">
      <c r="A30" s="1" t="s">
        <v>46</v>
      </c>
      <c r="B30" s="1" t="s">
        <v>18</v>
      </c>
      <c r="C30" s="1">
        <v>0.48762583808390159</v>
      </c>
      <c r="E30" s="1">
        <v>2.3944999999999999</v>
      </c>
      <c r="F30" s="1">
        <v>149.291539917976</v>
      </c>
      <c r="G30" s="5">
        <v>57.396088181750002</v>
      </c>
      <c r="H30" s="4">
        <v>11.3868590254742</v>
      </c>
      <c r="I30" s="4"/>
      <c r="J30" s="1">
        <v>50</v>
      </c>
      <c r="K30" s="1">
        <v>22</v>
      </c>
      <c r="L30" s="7">
        <v>8</v>
      </c>
      <c r="M30" s="1">
        <v>7</v>
      </c>
      <c r="N30" s="1">
        <v>4</v>
      </c>
      <c r="O30" s="4">
        <v>11.4395890410959</v>
      </c>
      <c r="P30" s="4">
        <v>0.92434988179669031</v>
      </c>
      <c r="Q30" s="8">
        <v>432</v>
      </c>
      <c r="R30" s="8">
        <v>78.63</v>
      </c>
      <c r="S30" s="5">
        <v>1.85</v>
      </c>
      <c r="T30" s="5">
        <v>0.158</v>
      </c>
      <c r="U30" s="1">
        <v>0</v>
      </c>
      <c r="V30" s="1">
        <v>50.985849999999999</v>
      </c>
      <c r="W30" s="1">
        <v>3.9089800000000001</v>
      </c>
      <c r="X30" s="1">
        <v>1</v>
      </c>
      <c r="Y30" s="1">
        <v>0</v>
      </c>
      <c r="Z30" s="4">
        <f t="shared" si="0"/>
        <v>7.5650118203309691E-2</v>
      </c>
    </row>
    <row r="31" spans="1:26" x14ac:dyDescent="0.15">
      <c r="A31" s="1" t="s">
        <v>47</v>
      </c>
      <c r="B31" s="1" t="s">
        <v>18</v>
      </c>
      <c r="C31" s="1">
        <v>0.31226085499339129</v>
      </c>
      <c r="D31" s="1">
        <v>1.3389578650193157E-2</v>
      </c>
      <c r="E31" s="1">
        <v>1.0787500000000001</v>
      </c>
      <c r="F31" s="1">
        <v>347.093542554686</v>
      </c>
      <c r="G31" s="5">
        <v>5.6709560482499999</v>
      </c>
      <c r="H31" s="4">
        <v>21.215526690216802</v>
      </c>
      <c r="I31" s="4"/>
      <c r="J31" s="1">
        <v>50</v>
      </c>
      <c r="K31" s="1">
        <v>13</v>
      </c>
      <c r="L31" s="7">
        <v>10</v>
      </c>
      <c r="M31" s="1">
        <v>11</v>
      </c>
      <c r="N31" s="1">
        <v>6</v>
      </c>
      <c r="O31" s="4">
        <v>11.4395890410959</v>
      </c>
      <c r="P31" s="4">
        <v>0.92434988179669031</v>
      </c>
      <c r="Q31" s="8">
        <v>540</v>
      </c>
      <c r="R31" s="8">
        <v>104.88</v>
      </c>
      <c r="S31" s="5">
        <v>1.3</v>
      </c>
      <c r="T31" s="5">
        <v>7.2999999999999995E-2</v>
      </c>
      <c r="U31" s="1">
        <v>95</v>
      </c>
      <c r="V31" s="1">
        <v>50.99042</v>
      </c>
      <c r="W31" s="1">
        <v>3.8891200000000001</v>
      </c>
      <c r="X31" s="1">
        <v>0</v>
      </c>
      <c r="Y31" s="1">
        <v>1</v>
      </c>
      <c r="Z31" s="4">
        <f t="shared" si="0"/>
        <v>7.5650118203309691E-2</v>
      </c>
    </row>
    <row r="32" spans="1:26" x14ac:dyDescent="0.15">
      <c r="A32" s="1" t="s">
        <v>48</v>
      </c>
      <c r="B32" s="1" t="s">
        <v>49</v>
      </c>
      <c r="C32" s="1">
        <v>0.28889955019676583</v>
      </c>
      <c r="D32" s="1">
        <v>1.162370693585741E-2</v>
      </c>
      <c r="E32" s="1">
        <v>0.54300000000000004</v>
      </c>
      <c r="F32" s="1">
        <v>447.89667179200001</v>
      </c>
      <c r="G32" s="5">
        <v>7.3666666666666698</v>
      </c>
      <c r="H32" s="4">
        <v>10.224554187314199</v>
      </c>
      <c r="I32" s="4">
        <v>3952.9432554472501</v>
      </c>
      <c r="J32" s="1">
        <v>2</v>
      </c>
      <c r="K32" s="1">
        <v>13</v>
      </c>
      <c r="L32" s="7">
        <v>8</v>
      </c>
      <c r="M32" s="1">
        <v>12</v>
      </c>
      <c r="N32" s="1">
        <v>5</v>
      </c>
      <c r="O32" s="4">
        <v>10.3498356164384</v>
      </c>
      <c r="P32" s="4">
        <v>1.0471512770137525</v>
      </c>
      <c r="Q32" s="8">
        <v>605.91952920000006</v>
      </c>
      <c r="R32" s="8">
        <v>137</v>
      </c>
      <c r="S32" s="5">
        <v>1.03666666666667</v>
      </c>
      <c r="T32" s="5">
        <v>0.101666666666667</v>
      </c>
      <c r="U32" s="1">
        <v>30</v>
      </c>
      <c r="V32" s="1">
        <v>46.251539229999999</v>
      </c>
      <c r="W32" s="1">
        <v>6.3042807879999998</v>
      </c>
      <c r="X32" s="1">
        <v>0</v>
      </c>
      <c r="Y32" s="1">
        <v>1</v>
      </c>
      <c r="Z32" s="4">
        <f t="shared" si="0"/>
        <v>-4.7151277013752546E-2</v>
      </c>
    </row>
    <row r="33" spans="1:26" x14ac:dyDescent="0.15">
      <c r="A33" s="1" t="s">
        <v>50</v>
      </c>
      <c r="B33" s="1" t="s">
        <v>49</v>
      </c>
      <c r="C33" s="1">
        <v>0.30718350093710967</v>
      </c>
      <c r="D33" s="1">
        <v>7.3088358245152881E-3</v>
      </c>
      <c r="E33" s="1">
        <v>0.23250000000000001</v>
      </c>
      <c r="F33" s="1">
        <v>381.58127100666701</v>
      </c>
      <c r="G33" s="5">
        <v>4.9566666666666697</v>
      </c>
      <c r="H33" s="4">
        <v>2.0511506511403899</v>
      </c>
      <c r="I33" s="4">
        <v>685.15860996065805</v>
      </c>
      <c r="J33" s="1">
        <v>40</v>
      </c>
      <c r="K33" s="1">
        <v>11</v>
      </c>
      <c r="L33" s="7">
        <v>6</v>
      </c>
      <c r="M33" s="1">
        <v>15</v>
      </c>
      <c r="N33" s="1">
        <v>6</v>
      </c>
      <c r="O33" s="4">
        <v>10.3498356164384</v>
      </c>
      <c r="P33" s="4">
        <v>1.0471512770137525</v>
      </c>
      <c r="Q33" s="8">
        <v>491.85930710000002</v>
      </c>
      <c r="R33" s="8">
        <v>42</v>
      </c>
      <c r="S33" s="5">
        <v>0.77666666666666695</v>
      </c>
      <c r="T33" s="5">
        <v>9.2700000000000005E-2</v>
      </c>
      <c r="U33" s="1">
        <v>10</v>
      </c>
      <c r="V33" s="1">
        <v>46.251457240000001</v>
      </c>
      <c r="W33" s="1">
        <v>6.3033815119999996</v>
      </c>
      <c r="X33" s="1">
        <v>1</v>
      </c>
      <c r="Y33" s="1">
        <v>0</v>
      </c>
      <c r="Z33" s="4">
        <f t="shared" si="0"/>
        <v>-4.7151277013752546E-2</v>
      </c>
    </row>
    <row r="34" spans="1:26" x14ac:dyDescent="0.15">
      <c r="A34" s="1" t="s">
        <v>51</v>
      </c>
      <c r="B34" s="1" t="s">
        <v>49</v>
      </c>
      <c r="C34" s="1">
        <v>0.30765119716744005</v>
      </c>
      <c r="D34" s="1">
        <v>1.3034223331408881E-2</v>
      </c>
      <c r="E34" s="1">
        <v>1.4443333330000001</v>
      </c>
      <c r="F34" s="1">
        <v>228.86790119778601</v>
      </c>
      <c r="G34" s="5">
        <v>21.4</v>
      </c>
      <c r="H34" s="4">
        <v>205.98365487197799</v>
      </c>
      <c r="I34" s="4">
        <v>1042.05321624514</v>
      </c>
      <c r="J34" s="1">
        <v>10</v>
      </c>
      <c r="K34" s="1">
        <v>19</v>
      </c>
      <c r="L34" s="7">
        <v>7</v>
      </c>
      <c r="M34" s="1">
        <v>11</v>
      </c>
      <c r="N34" s="1">
        <v>4</v>
      </c>
      <c r="O34" s="4">
        <v>10.3498356164384</v>
      </c>
      <c r="P34" s="4">
        <v>1.0717797443461161</v>
      </c>
      <c r="Q34" s="8">
        <v>4621.3538140000001</v>
      </c>
      <c r="R34" s="8">
        <v>90</v>
      </c>
      <c r="S34" s="5">
        <v>0.79066666666666696</v>
      </c>
      <c r="T34" s="5">
        <v>7.1733333333333302E-2</v>
      </c>
      <c r="U34" s="1">
        <v>0</v>
      </c>
      <c r="V34" s="1">
        <v>46.238248310000003</v>
      </c>
      <c r="W34" s="1">
        <v>6.2934004469999998</v>
      </c>
      <c r="X34" s="1">
        <v>1</v>
      </c>
      <c r="Y34" s="1">
        <v>1</v>
      </c>
      <c r="Z34" s="4">
        <f t="shared" si="0"/>
        <v>-7.1779744346116114E-2</v>
      </c>
    </row>
    <row r="35" spans="1:26" x14ac:dyDescent="0.15">
      <c r="A35" s="1" t="s">
        <v>52</v>
      </c>
      <c r="B35" s="1" t="s">
        <v>49</v>
      </c>
      <c r="C35" s="1">
        <v>0.21734626506528321</v>
      </c>
      <c r="E35" s="1">
        <v>1.629</v>
      </c>
      <c r="F35" s="1">
        <v>31.3917953561429</v>
      </c>
      <c r="G35" s="5">
        <v>15.81</v>
      </c>
      <c r="H35" s="4">
        <v>15.326800030521699</v>
      </c>
      <c r="I35" s="4">
        <v>20.896196650345399</v>
      </c>
      <c r="J35" s="1">
        <v>10</v>
      </c>
      <c r="K35" s="1">
        <v>7</v>
      </c>
      <c r="L35" s="7">
        <v>6</v>
      </c>
      <c r="M35" s="1">
        <v>2</v>
      </c>
      <c r="N35" s="1">
        <v>2</v>
      </c>
      <c r="O35" s="4">
        <v>10.628123287671199</v>
      </c>
      <c r="P35" s="4">
        <v>0.97007722007722008</v>
      </c>
      <c r="Q35" s="8">
        <v>1557.4684339999999</v>
      </c>
      <c r="R35" s="8">
        <v>173</v>
      </c>
      <c r="S35" s="5">
        <v>3.0933333333333302</v>
      </c>
      <c r="T35" s="5">
        <v>7.6733333333333306E-2</v>
      </c>
      <c r="U35" s="1">
        <v>11</v>
      </c>
      <c r="V35" s="1">
        <v>46.186730529999998</v>
      </c>
      <c r="W35" s="1">
        <v>6.0313147730000001</v>
      </c>
      <c r="X35" s="1">
        <v>1</v>
      </c>
      <c r="Y35" s="1">
        <v>0</v>
      </c>
      <c r="Z35" s="4">
        <f t="shared" si="0"/>
        <v>2.9922779922779918E-2</v>
      </c>
    </row>
    <row r="36" spans="1:26" x14ac:dyDescent="0.15">
      <c r="A36" s="1" t="s">
        <v>53</v>
      </c>
      <c r="B36" s="1" t="s">
        <v>49</v>
      </c>
      <c r="C36" s="1">
        <v>0.28723527505945567</v>
      </c>
      <c r="D36" s="1">
        <v>1.2189046920925336E-2</v>
      </c>
      <c r="E36" s="1">
        <v>2.8248333335</v>
      </c>
      <c r="F36" s="1">
        <v>289.6122153005</v>
      </c>
      <c r="G36" s="5">
        <v>49.356666666666698</v>
      </c>
      <c r="H36" s="4">
        <v>53.579484286714397</v>
      </c>
      <c r="I36" s="4">
        <v>1521.69921980087</v>
      </c>
      <c r="J36" s="1">
        <v>5</v>
      </c>
      <c r="K36" s="1">
        <v>21</v>
      </c>
      <c r="L36" s="7">
        <v>7</v>
      </c>
      <c r="M36" s="1">
        <v>10</v>
      </c>
      <c r="N36" s="1">
        <v>3</v>
      </c>
      <c r="O36" s="4">
        <v>10.628123287671199</v>
      </c>
      <c r="P36" s="4">
        <v>1.0540275049115913</v>
      </c>
      <c r="Q36" s="8">
        <v>4462.2343069999997</v>
      </c>
      <c r="R36" s="8">
        <v>103</v>
      </c>
      <c r="S36" s="5">
        <v>0.76666666666666705</v>
      </c>
      <c r="T36" s="5">
        <v>7.3700000000000002E-2</v>
      </c>
      <c r="U36" s="1">
        <v>20</v>
      </c>
      <c r="V36" s="1">
        <v>46.304075339999997</v>
      </c>
      <c r="W36" s="1">
        <v>6.1247258120000003</v>
      </c>
      <c r="X36" s="1">
        <v>1</v>
      </c>
      <c r="Y36" s="1">
        <v>1</v>
      </c>
      <c r="Z36" s="4">
        <f t="shared" si="0"/>
        <v>-5.4027504911591251E-2</v>
      </c>
    </row>
    <row r="37" spans="1:26" x14ac:dyDescent="0.15">
      <c r="A37" s="1" t="s">
        <v>54</v>
      </c>
      <c r="B37" s="1" t="s">
        <v>49</v>
      </c>
      <c r="C37" s="1">
        <v>0.35083608505170405</v>
      </c>
      <c r="D37" s="1">
        <v>1.2551767725521851E-2</v>
      </c>
      <c r="E37" s="1">
        <v>0.47658333349999998</v>
      </c>
      <c r="F37" s="1">
        <v>321.44515505275001</v>
      </c>
      <c r="G37" s="5">
        <v>18</v>
      </c>
      <c r="H37" s="4">
        <v>1933.8445567608801</v>
      </c>
      <c r="I37" s="4">
        <v>693.84410828398904</v>
      </c>
      <c r="J37" s="1">
        <v>2</v>
      </c>
      <c r="K37" s="1">
        <v>14</v>
      </c>
      <c r="L37" s="7">
        <v>4</v>
      </c>
      <c r="M37" s="1">
        <v>9</v>
      </c>
      <c r="N37" s="1">
        <v>1</v>
      </c>
      <c r="O37" s="4">
        <v>10.3498356164384</v>
      </c>
      <c r="P37" s="4">
        <v>1.0236920039486672</v>
      </c>
      <c r="Q37" s="8">
        <v>1382.9126570000001</v>
      </c>
      <c r="R37" s="8">
        <v>191</v>
      </c>
      <c r="S37" s="5">
        <v>0.84</v>
      </c>
      <c r="T37" s="5">
        <v>0.134566666666667</v>
      </c>
      <c r="U37" s="1">
        <v>15</v>
      </c>
      <c r="V37" s="1">
        <v>46.310709889999998</v>
      </c>
      <c r="W37" s="1">
        <v>6.1415307449999998</v>
      </c>
      <c r="X37" s="1">
        <v>1</v>
      </c>
      <c r="Y37" s="1">
        <v>1</v>
      </c>
      <c r="Z37" s="4">
        <f t="shared" si="0"/>
        <v>-2.3692003948667217E-2</v>
      </c>
    </row>
    <row r="38" spans="1:26" x14ac:dyDescent="0.15">
      <c r="A38" s="1" t="s">
        <v>55</v>
      </c>
      <c r="B38" s="1" t="s">
        <v>49</v>
      </c>
      <c r="C38" s="1">
        <v>0.27824989982338966</v>
      </c>
      <c r="D38" s="1">
        <v>1.4213770709508479E-2</v>
      </c>
      <c r="E38" s="1">
        <v>1.5395833335</v>
      </c>
      <c r="F38" s="1">
        <v>478.12920095712502</v>
      </c>
      <c r="G38" s="5">
        <v>30.99</v>
      </c>
      <c r="H38" s="4">
        <v>1.98591480575663</v>
      </c>
      <c r="I38" s="4">
        <v>1611.9577676874001</v>
      </c>
      <c r="J38" s="1">
        <v>20</v>
      </c>
      <c r="K38" s="1">
        <v>17</v>
      </c>
      <c r="L38" s="7">
        <v>5</v>
      </c>
      <c r="M38" s="1">
        <v>15</v>
      </c>
      <c r="N38" s="1">
        <v>3</v>
      </c>
      <c r="O38" s="4">
        <v>10.3498356164384</v>
      </c>
      <c r="P38" s="4">
        <v>1.0039177277179236</v>
      </c>
      <c r="Q38" s="8">
        <v>2715.6151150000001</v>
      </c>
      <c r="R38" s="8">
        <v>103</v>
      </c>
      <c r="S38" s="5">
        <v>0.77866666666666695</v>
      </c>
      <c r="T38" s="5">
        <v>5.8099999999999999E-2</v>
      </c>
      <c r="U38" s="1">
        <v>0</v>
      </c>
      <c r="V38" s="1">
        <v>46.227316430000002</v>
      </c>
      <c r="W38" s="1">
        <v>6.2773152469999998</v>
      </c>
      <c r="X38" s="1">
        <v>1</v>
      </c>
      <c r="Y38" s="1">
        <v>1</v>
      </c>
      <c r="Z38" s="4">
        <f t="shared" si="0"/>
        <v>-3.9177277179236469E-3</v>
      </c>
    </row>
    <row r="39" spans="1:26" x14ac:dyDescent="0.15">
      <c r="A39" s="1" t="s">
        <v>56</v>
      </c>
      <c r="B39" s="1" t="s">
        <v>49</v>
      </c>
      <c r="C39" s="1">
        <v>0.3122728530380714</v>
      </c>
      <c r="D39" s="1">
        <v>9.5701253585454872E-3</v>
      </c>
      <c r="E39" s="1">
        <v>0.50083333350000003</v>
      </c>
      <c r="F39" s="1">
        <v>105.87060024487501</v>
      </c>
      <c r="G39" s="5">
        <v>6.7233333333333301</v>
      </c>
      <c r="H39" s="4">
        <v>14.2913242570155</v>
      </c>
      <c r="I39" s="4">
        <v>331.03817936296798</v>
      </c>
      <c r="J39" s="1">
        <v>30</v>
      </c>
      <c r="K39" s="1">
        <v>25</v>
      </c>
      <c r="L39" s="7">
        <v>7</v>
      </c>
      <c r="M39" s="1">
        <v>13</v>
      </c>
      <c r="N39" s="1">
        <v>6</v>
      </c>
      <c r="O39" s="4">
        <v>10.3498356164384</v>
      </c>
      <c r="P39" s="4">
        <v>0.97828232971372164</v>
      </c>
      <c r="Q39" s="8">
        <v>4791.874511</v>
      </c>
      <c r="R39" s="8">
        <v>160</v>
      </c>
      <c r="S39" s="5">
        <v>0.68666666666666698</v>
      </c>
      <c r="T39" s="5">
        <v>5.8633333333333301E-2</v>
      </c>
      <c r="U39" s="1">
        <v>30</v>
      </c>
      <c r="V39" s="1">
        <v>46.291492089999998</v>
      </c>
      <c r="W39" s="1">
        <v>6.1367327899999999</v>
      </c>
      <c r="X39" s="1">
        <v>1</v>
      </c>
      <c r="Y39" s="1">
        <v>1</v>
      </c>
      <c r="Z39" s="4">
        <f t="shared" si="0"/>
        <v>2.1717670286278357E-2</v>
      </c>
    </row>
    <row r="40" spans="1:26" x14ac:dyDescent="0.15">
      <c r="A40" s="1" t="s">
        <v>57</v>
      </c>
      <c r="B40" s="1" t="s">
        <v>49</v>
      </c>
      <c r="C40" s="1">
        <v>0.26637645943116117</v>
      </c>
      <c r="D40" s="1">
        <v>1.1454533376560518E-2</v>
      </c>
      <c r="E40" s="1">
        <v>1.0773333329999999</v>
      </c>
      <c r="F40" s="1">
        <v>58.418025185069403</v>
      </c>
      <c r="G40" s="5">
        <v>6.0233333333333299</v>
      </c>
      <c r="H40" s="4">
        <v>30.6508382076007</v>
      </c>
      <c r="I40" s="4">
        <v>457.852721029988</v>
      </c>
      <c r="J40" s="1">
        <v>5</v>
      </c>
      <c r="K40" s="1">
        <v>17</v>
      </c>
      <c r="L40" s="7">
        <v>8</v>
      </c>
      <c r="M40" s="1">
        <v>12</v>
      </c>
      <c r="N40" s="1">
        <v>1</v>
      </c>
      <c r="O40" s="4">
        <v>10.628123287671199</v>
      </c>
      <c r="P40" s="4">
        <v>0.97195357833655704</v>
      </c>
      <c r="Q40" s="8">
        <v>8909.1600409999992</v>
      </c>
      <c r="R40" s="8">
        <v>255</v>
      </c>
      <c r="S40" s="5">
        <v>0.52</v>
      </c>
      <c r="T40" s="5">
        <v>8.5500000000000007E-2</v>
      </c>
      <c r="U40" s="1">
        <v>20</v>
      </c>
      <c r="V40" s="1">
        <v>46.181684629999999</v>
      </c>
      <c r="W40" s="1">
        <v>6.0223282129999998</v>
      </c>
      <c r="X40" s="1">
        <v>1</v>
      </c>
      <c r="Y40" s="1">
        <v>1</v>
      </c>
      <c r="Z40" s="4">
        <f t="shared" si="0"/>
        <v>2.8046421663442955E-2</v>
      </c>
    </row>
    <row r="41" spans="1:26" x14ac:dyDescent="0.15">
      <c r="A41" s="1" t="s">
        <v>58</v>
      </c>
      <c r="B41" s="1" t="s">
        <v>49</v>
      </c>
      <c r="C41" s="1">
        <v>0.35959186719731373</v>
      </c>
      <c r="D41" s="1">
        <v>7.4068633397227348E-3</v>
      </c>
      <c r="E41" s="1">
        <v>0.47033333350000001</v>
      </c>
      <c r="F41" s="1">
        <v>188.72154968449999</v>
      </c>
      <c r="G41" s="5">
        <v>17.433333333333302</v>
      </c>
      <c r="H41" s="4">
        <v>14.1408046019256</v>
      </c>
      <c r="I41" s="4">
        <v>1258.6635235732101</v>
      </c>
      <c r="J41" s="1">
        <v>5</v>
      </c>
      <c r="K41" s="1">
        <v>8</v>
      </c>
      <c r="L41" s="1">
        <v>5</v>
      </c>
      <c r="M41" s="1">
        <v>13</v>
      </c>
      <c r="N41" s="1">
        <v>4</v>
      </c>
      <c r="O41" s="4">
        <v>10.3498356164384</v>
      </c>
      <c r="P41" s="4">
        <v>1.0717797443461161</v>
      </c>
      <c r="Q41" s="8">
        <v>33.604741300000001</v>
      </c>
      <c r="R41" s="8">
        <v>38</v>
      </c>
      <c r="S41" s="5">
        <v>0.81</v>
      </c>
      <c r="T41" s="5">
        <v>3.2866666666666697E-2</v>
      </c>
      <c r="U41" s="1">
        <v>58</v>
      </c>
      <c r="V41" s="1">
        <v>46.239263659999999</v>
      </c>
      <c r="W41" s="1">
        <v>6.2943976360000002</v>
      </c>
      <c r="X41" s="1">
        <v>1</v>
      </c>
      <c r="Y41" s="1">
        <v>0</v>
      </c>
      <c r="Z41" s="4">
        <f t="shared" si="0"/>
        <v>-7.1779744346116114E-2</v>
      </c>
    </row>
    <row r="42" spans="1:26" x14ac:dyDescent="0.15">
      <c r="A42" s="1" t="s">
        <v>59</v>
      </c>
      <c r="B42" s="1" t="s">
        <v>49</v>
      </c>
      <c r="C42" s="1">
        <v>0.28900417528606104</v>
      </c>
      <c r="D42" s="1">
        <v>9.007324446893325E-3</v>
      </c>
      <c r="E42" s="1">
        <v>3.3607499999999999</v>
      </c>
      <c r="F42" s="1">
        <v>298.16211307578601</v>
      </c>
      <c r="G42" s="5">
        <v>32.11</v>
      </c>
      <c r="H42" s="4">
        <v>1811.8000165247399</v>
      </c>
      <c r="I42" s="4">
        <v>180.69172640471399</v>
      </c>
      <c r="J42" s="1">
        <v>30</v>
      </c>
      <c r="K42" s="1">
        <v>10</v>
      </c>
      <c r="L42" s="7">
        <v>7</v>
      </c>
      <c r="M42" s="1">
        <v>8</v>
      </c>
      <c r="N42" s="1">
        <v>5</v>
      </c>
      <c r="O42" s="4">
        <v>10.628123287671199</v>
      </c>
      <c r="P42" s="4">
        <v>0.98065764023210833</v>
      </c>
      <c r="Q42" s="8">
        <v>988.72506769999995</v>
      </c>
      <c r="R42" s="8">
        <v>153</v>
      </c>
      <c r="S42" s="5">
        <v>2.88</v>
      </c>
      <c r="T42" s="5">
        <v>7.7766666666666706E-2</v>
      </c>
      <c r="U42" s="1">
        <v>87</v>
      </c>
      <c r="V42" s="1">
        <v>46.146286600000003</v>
      </c>
      <c r="W42" s="1">
        <v>5.9949411609999999</v>
      </c>
      <c r="X42" s="1">
        <v>1</v>
      </c>
      <c r="Y42" s="1">
        <v>1</v>
      </c>
      <c r="Z42" s="4">
        <f t="shared" si="0"/>
        <v>1.934235976789167E-2</v>
      </c>
    </row>
    <row r="43" spans="1:26" x14ac:dyDescent="0.15">
      <c r="A43" s="1" t="s">
        <v>60</v>
      </c>
      <c r="B43" s="1" t="s">
        <v>49</v>
      </c>
      <c r="C43" s="1">
        <v>0.30717973584319658</v>
      </c>
      <c r="D43" s="1">
        <v>9.9528819588460445E-3</v>
      </c>
      <c r="E43" s="1">
        <v>1.1527499999999999</v>
      </c>
      <c r="F43" s="1">
        <v>282.61306774625001</v>
      </c>
      <c r="G43" s="5">
        <v>6.8333333333333304</v>
      </c>
      <c r="H43" s="4">
        <v>28.034335830501199</v>
      </c>
      <c r="I43" s="4">
        <v>292.45941390721998</v>
      </c>
      <c r="J43" s="1">
        <v>35</v>
      </c>
      <c r="K43" s="1">
        <v>17</v>
      </c>
      <c r="L43" s="7">
        <v>15</v>
      </c>
      <c r="M43" s="1">
        <v>11</v>
      </c>
      <c r="N43" s="1">
        <v>2</v>
      </c>
      <c r="O43" s="4">
        <v>10.628123287671199</v>
      </c>
      <c r="P43" s="4">
        <v>0.98451113262342693</v>
      </c>
      <c r="Q43" s="8">
        <v>3079.2581089999999</v>
      </c>
      <c r="R43" s="8">
        <v>226</v>
      </c>
      <c r="S43" s="5">
        <v>0.77333333333333298</v>
      </c>
      <c r="T43" s="5">
        <v>7.4800000000000005E-2</v>
      </c>
      <c r="U43" s="1">
        <v>54</v>
      </c>
      <c r="V43" s="1">
        <v>46.156167529999998</v>
      </c>
      <c r="W43" s="1">
        <v>6.0294392920000002</v>
      </c>
      <c r="X43" s="1">
        <v>1</v>
      </c>
      <c r="Y43" s="1">
        <v>1</v>
      </c>
      <c r="Z43" s="4">
        <f t="shared" si="0"/>
        <v>1.5488867376573068E-2</v>
      </c>
    </row>
    <row r="44" spans="1:26" x14ac:dyDescent="0.15">
      <c r="A44" s="1" t="s">
        <v>61</v>
      </c>
      <c r="B44" s="1" t="s">
        <v>49</v>
      </c>
      <c r="C44" s="1">
        <v>0.3255821704412144</v>
      </c>
      <c r="D44" s="1">
        <v>1.1831474527401856E-2</v>
      </c>
      <c r="E44" s="1">
        <v>0.43575000000000003</v>
      </c>
      <c r="F44" s="1">
        <v>205.35234300312499</v>
      </c>
      <c r="G44" s="5">
        <v>9.5333333333333297</v>
      </c>
      <c r="H44" s="4">
        <v>164.6417337</v>
      </c>
      <c r="I44" s="4">
        <v>1590.1746082391901</v>
      </c>
      <c r="J44" s="1">
        <v>40</v>
      </c>
      <c r="K44" s="1">
        <v>13</v>
      </c>
      <c r="L44" s="7">
        <v>10</v>
      </c>
      <c r="M44" s="1">
        <v>13</v>
      </c>
      <c r="N44" s="1">
        <v>8</v>
      </c>
      <c r="O44" s="4">
        <v>10.3498356164384</v>
      </c>
      <c r="P44" s="4">
        <v>1.0108481262327416</v>
      </c>
      <c r="Q44" s="8">
        <v>3141.459147</v>
      </c>
      <c r="R44" s="8">
        <v>83</v>
      </c>
      <c r="S44" s="5">
        <v>0.84166666666666701</v>
      </c>
      <c r="T44" s="5">
        <v>8.09E-2</v>
      </c>
      <c r="U44" s="1">
        <v>1</v>
      </c>
      <c r="V44" s="1">
        <v>46.234214250000001</v>
      </c>
      <c r="W44" s="1">
        <v>6.2911900559999996</v>
      </c>
      <c r="X44" s="1">
        <v>1</v>
      </c>
      <c r="Y44" s="1">
        <v>0</v>
      </c>
      <c r="Z44" s="4">
        <f t="shared" si="0"/>
        <v>-1.0848126232741562E-2</v>
      </c>
    </row>
    <row r="45" spans="1:26" x14ac:dyDescent="0.15">
      <c r="A45" s="1" t="s">
        <v>62</v>
      </c>
      <c r="B45" s="1" t="s">
        <v>49</v>
      </c>
      <c r="C45" s="1">
        <v>0.33403218500432375</v>
      </c>
      <c r="D45" s="1">
        <v>1.1743337601479246E-2</v>
      </c>
      <c r="E45" s="1">
        <v>2.48875</v>
      </c>
      <c r="F45" s="1">
        <v>246.081365188875</v>
      </c>
      <c r="G45" s="5">
        <v>10.4233333333333</v>
      </c>
      <c r="H45" s="4">
        <v>146.47338110855799</v>
      </c>
      <c r="I45" s="4">
        <v>1740.02356957092</v>
      </c>
      <c r="J45" s="1">
        <v>85</v>
      </c>
      <c r="K45" s="1">
        <v>13</v>
      </c>
      <c r="L45" s="7">
        <v>9</v>
      </c>
      <c r="M45" s="1">
        <v>13</v>
      </c>
      <c r="N45" s="1">
        <v>5</v>
      </c>
      <c r="O45" s="4">
        <v>10.628123287671199</v>
      </c>
      <c r="P45" s="4">
        <v>1.0109670987038883</v>
      </c>
      <c r="Q45" s="8">
        <v>180.2544058</v>
      </c>
      <c r="R45" s="8">
        <v>39</v>
      </c>
      <c r="S45" s="5">
        <v>0.76933333333333298</v>
      </c>
      <c r="T45" s="5">
        <v>0.16676666666666701</v>
      </c>
      <c r="U45" s="1">
        <v>80</v>
      </c>
      <c r="V45" s="1">
        <v>46.239094100000003</v>
      </c>
      <c r="W45" s="1">
        <v>6.0682343169999999</v>
      </c>
      <c r="X45" s="1">
        <v>0</v>
      </c>
      <c r="Y45" s="1">
        <v>0</v>
      </c>
      <c r="Z45" s="4">
        <f t="shared" si="0"/>
        <v>-1.0967098703888345E-2</v>
      </c>
    </row>
    <row r="46" spans="1:26" x14ac:dyDescent="0.15">
      <c r="A46" s="1" t="s">
        <v>63</v>
      </c>
      <c r="B46" s="1" t="s">
        <v>49</v>
      </c>
      <c r="C46" s="1">
        <v>0.33171680955959992</v>
      </c>
      <c r="D46" s="1">
        <v>1.1372667065945639E-2</v>
      </c>
      <c r="E46" s="1">
        <v>1.6705000000000001</v>
      </c>
      <c r="F46" s="1">
        <v>1208.3340788913299</v>
      </c>
      <c r="G46" s="5">
        <v>89.643333333333302</v>
      </c>
      <c r="H46" s="4">
        <v>800.47220198867001</v>
      </c>
      <c r="I46" s="4">
        <v>1600.0830614894201</v>
      </c>
      <c r="J46" s="1">
        <v>75</v>
      </c>
      <c r="K46" s="1">
        <v>13</v>
      </c>
      <c r="L46" s="7">
        <v>9</v>
      </c>
      <c r="M46" s="1">
        <v>16</v>
      </c>
      <c r="N46" s="1">
        <v>7</v>
      </c>
      <c r="O46" s="4">
        <v>10.628123287671199</v>
      </c>
      <c r="P46" s="4">
        <v>1.0049554013875124</v>
      </c>
      <c r="Q46" s="8">
        <v>588.59182940000005</v>
      </c>
      <c r="R46" s="8">
        <v>105</v>
      </c>
      <c r="S46" s="5">
        <v>4.1900000000000004</v>
      </c>
      <c r="T46" s="5">
        <v>0.15343333333333301</v>
      </c>
      <c r="U46" s="1">
        <v>56</v>
      </c>
      <c r="V46" s="1">
        <v>46.244838799999997</v>
      </c>
      <c r="W46" s="1">
        <v>6.0614833949999998</v>
      </c>
      <c r="X46" s="1">
        <v>1</v>
      </c>
      <c r="Y46" s="1">
        <v>1</v>
      </c>
      <c r="Z46" s="4">
        <f t="shared" si="0"/>
        <v>-4.9554013875123815E-3</v>
      </c>
    </row>
    <row r="47" spans="1:26" x14ac:dyDescent="0.15">
      <c r="A47" s="1" t="s">
        <v>64</v>
      </c>
      <c r="B47" s="1" t="s">
        <v>49</v>
      </c>
      <c r="C47" s="1">
        <v>0.37134562111182423</v>
      </c>
      <c r="D47" s="1">
        <v>1.6054418244411419E-2</v>
      </c>
      <c r="E47" s="1">
        <v>0.69499999999999995</v>
      </c>
      <c r="F47" s="1">
        <v>370.31911795500002</v>
      </c>
      <c r="G47" s="5">
        <v>59.646666666666697</v>
      </c>
      <c r="H47" s="4">
        <v>9.9378709357497996</v>
      </c>
      <c r="I47" s="4">
        <v>423.88627659643402</v>
      </c>
      <c r="J47" s="1">
        <v>40</v>
      </c>
      <c r="K47" s="1">
        <v>8</v>
      </c>
      <c r="L47" s="7">
        <v>3</v>
      </c>
      <c r="M47" s="1">
        <v>15</v>
      </c>
      <c r="N47" s="1">
        <v>2</v>
      </c>
      <c r="O47" s="4">
        <v>10.3498356164384</v>
      </c>
      <c r="P47" s="4">
        <v>0.9677734375</v>
      </c>
      <c r="Q47" s="8">
        <v>1204.3488729999999</v>
      </c>
      <c r="R47" s="8">
        <v>80</v>
      </c>
      <c r="S47" s="5">
        <v>1.30666666666667</v>
      </c>
      <c r="T47" s="5">
        <v>0.207133333333333</v>
      </c>
      <c r="U47" s="1">
        <v>32</v>
      </c>
      <c r="V47" s="1">
        <v>46.229693079999997</v>
      </c>
      <c r="W47" s="1">
        <v>6.2239353460000002</v>
      </c>
      <c r="X47" s="1">
        <v>1</v>
      </c>
      <c r="Y47" s="1">
        <v>0</v>
      </c>
      <c r="Z47" s="4">
        <f t="shared" si="0"/>
        <v>3.22265625E-2</v>
      </c>
    </row>
    <row r="48" spans="1:26" x14ac:dyDescent="0.15">
      <c r="A48" s="1" t="s">
        <v>65</v>
      </c>
      <c r="B48" s="1" t="s">
        <v>49</v>
      </c>
      <c r="C48" s="1">
        <v>0.42165051624940031</v>
      </c>
      <c r="D48" s="1">
        <v>1.1883821265586009E-2</v>
      </c>
      <c r="E48" s="1">
        <v>0.623</v>
      </c>
      <c r="F48" s="1">
        <v>14.90008928</v>
      </c>
      <c r="G48" s="5">
        <v>6.1</v>
      </c>
      <c r="H48" s="4">
        <v>34.349615276935097</v>
      </c>
      <c r="I48" s="4">
        <v>312.04663044793102</v>
      </c>
      <c r="J48" s="1">
        <v>85</v>
      </c>
      <c r="K48" s="1">
        <v>7</v>
      </c>
      <c r="L48" s="7">
        <v>9</v>
      </c>
      <c r="M48" s="1">
        <v>6</v>
      </c>
      <c r="N48" s="1">
        <v>3</v>
      </c>
      <c r="O48" s="4">
        <v>10.3498356164384</v>
      </c>
      <c r="P48" s="4">
        <v>0.97635467980295565</v>
      </c>
      <c r="Q48" s="8">
        <v>3714.4472780000001</v>
      </c>
      <c r="R48" s="8">
        <v>15</v>
      </c>
      <c r="S48" s="5">
        <v>1.46</v>
      </c>
      <c r="T48" s="5">
        <v>0.26100000000000001</v>
      </c>
      <c r="U48" s="1">
        <v>94</v>
      </c>
      <c r="V48" s="1">
        <v>46.263655129999997</v>
      </c>
      <c r="W48" s="1">
        <v>6.2378272319999999</v>
      </c>
      <c r="X48" s="1">
        <v>1</v>
      </c>
      <c r="Y48" s="1">
        <v>0</v>
      </c>
      <c r="Z48" s="4">
        <f t="shared" si="0"/>
        <v>2.3645320197044351E-2</v>
      </c>
    </row>
    <row r="49" spans="1:26" x14ac:dyDescent="0.15">
      <c r="A49" s="1" t="s">
        <v>66</v>
      </c>
      <c r="B49" s="1" t="s">
        <v>49</v>
      </c>
      <c r="C49" s="1">
        <v>0.27790665529452874</v>
      </c>
      <c r="D49" s="1">
        <v>1.6430711471091076E-2</v>
      </c>
      <c r="E49" s="1">
        <v>0.66274999999999995</v>
      </c>
      <c r="F49" s="1">
        <v>207.14517103955399</v>
      </c>
      <c r="G49" s="5">
        <v>43.566666666666698</v>
      </c>
      <c r="H49" s="4">
        <v>255.509671278496</v>
      </c>
      <c r="I49" s="4">
        <v>431.950055485235</v>
      </c>
      <c r="J49" s="1">
        <v>15</v>
      </c>
      <c r="K49" s="1">
        <v>21</v>
      </c>
      <c r="L49" s="7">
        <v>9</v>
      </c>
      <c r="M49" s="1">
        <v>13</v>
      </c>
      <c r="N49" s="1">
        <v>8</v>
      </c>
      <c r="O49" s="4">
        <v>10.628123287671199</v>
      </c>
      <c r="P49" s="4">
        <v>1.015015015015015</v>
      </c>
      <c r="Q49" s="8">
        <v>3295.5822189999999</v>
      </c>
      <c r="R49" s="8">
        <v>83</v>
      </c>
      <c r="S49" s="5">
        <v>0.89300000000000002</v>
      </c>
      <c r="T49" s="5">
        <v>0.1013</v>
      </c>
      <c r="U49" s="1">
        <v>12</v>
      </c>
      <c r="V49" s="1">
        <v>46.243249939999998</v>
      </c>
      <c r="W49" s="1">
        <v>6.0778249420000003</v>
      </c>
      <c r="X49" s="1">
        <v>1</v>
      </c>
      <c r="Y49" s="1">
        <v>1</v>
      </c>
      <c r="Z49" s="4">
        <f t="shared" si="0"/>
        <v>-1.501501501501501E-2</v>
      </c>
    </row>
    <row r="50" spans="1:26" x14ac:dyDescent="0.15">
      <c r="A50" s="1" t="s">
        <v>67</v>
      </c>
      <c r="B50" s="1" t="s">
        <v>49</v>
      </c>
      <c r="C50" s="1">
        <v>0.33914563068140646</v>
      </c>
      <c r="D50" s="1">
        <v>9.0573840545003642E-3</v>
      </c>
      <c r="E50" s="1">
        <v>2.7294999999999998</v>
      </c>
      <c r="F50" s="1">
        <v>153.49971071274999</v>
      </c>
      <c r="G50" s="5">
        <v>7.4566666666666697</v>
      </c>
      <c r="H50" s="4">
        <v>155.181932991867</v>
      </c>
      <c r="I50" s="4">
        <v>917.07625186977202</v>
      </c>
      <c r="J50" s="1">
        <v>20</v>
      </c>
      <c r="K50" s="1">
        <v>14</v>
      </c>
      <c r="L50" s="7">
        <v>11</v>
      </c>
      <c r="M50" s="1">
        <v>12</v>
      </c>
      <c r="N50" s="1">
        <v>3</v>
      </c>
      <c r="O50" s="4">
        <v>10.628123287671199</v>
      </c>
      <c r="P50" s="4">
        <v>0.97195357833655704</v>
      </c>
      <c r="Q50" s="8">
        <v>6787.6338569999998</v>
      </c>
      <c r="R50" s="8">
        <v>210</v>
      </c>
      <c r="S50" s="5">
        <v>0.66666666666666696</v>
      </c>
      <c r="T50" s="5">
        <v>7.6333333333333295E-2</v>
      </c>
      <c r="U50" s="1">
        <v>23</v>
      </c>
      <c r="V50" s="1">
        <v>46.180704890000001</v>
      </c>
      <c r="W50" s="1">
        <v>6.0239614990000003</v>
      </c>
      <c r="X50" s="1">
        <v>1</v>
      </c>
      <c r="Y50" s="1">
        <v>1</v>
      </c>
      <c r="Z50" s="4">
        <f t="shared" si="0"/>
        <v>2.8046421663442955E-2</v>
      </c>
    </row>
    <row r="51" spans="1:26" x14ac:dyDescent="0.15">
      <c r="A51" s="1" t="s">
        <v>68</v>
      </c>
      <c r="B51" s="1" t="s">
        <v>49</v>
      </c>
      <c r="C51" s="1">
        <v>0.31060764866957902</v>
      </c>
      <c r="D51" s="1">
        <v>9.7343442154919253E-3</v>
      </c>
      <c r="E51" s="1">
        <v>0.59299999999999997</v>
      </c>
      <c r="F51" s="1">
        <v>138.32167860437499</v>
      </c>
      <c r="G51" s="5">
        <v>11.1466666666667</v>
      </c>
      <c r="H51" s="4">
        <v>53.688549978401603</v>
      </c>
      <c r="I51" s="4">
        <v>611.14516772564195</v>
      </c>
      <c r="J51" s="1">
        <v>20</v>
      </c>
      <c r="K51" s="1">
        <v>6</v>
      </c>
      <c r="L51" s="7">
        <v>11</v>
      </c>
      <c r="M51" s="1">
        <v>9</v>
      </c>
      <c r="N51" s="1">
        <v>6</v>
      </c>
      <c r="O51" s="4">
        <v>10.628123287671199</v>
      </c>
      <c r="P51" s="4">
        <v>0.97383720930232553</v>
      </c>
      <c r="Q51" s="8">
        <v>574.22090679999997</v>
      </c>
      <c r="R51" s="8">
        <v>199</v>
      </c>
      <c r="S51" s="5">
        <v>1.0066666666666699</v>
      </c>
      <c r="T51" s="5">
        <v>4.67333333333333E-2</v>
      </c>
      <c r="U51" s="1">
        <v>51</v>
      </c>
      <c r="V51" s="1">
        <v>46.19811782</v>
      </c>
      <c r="W51" s="1">
        <v>6.0405373500000001</v>
      </c>
      <c r="X51" s="1">
        <v>1</v>
      </c>
      <c r="Y51" s="1">
        <v>1</v>
      </c>
      <c r="Z51" s="4">
        <f t="shared" si="0"/>
        <v>2.6162790697674465E-2</v>
      </c>
    </row>
    <row r="52" spans="1:26" x14ac:dyDescent="0.15">
      <c r="A52" s="1" t="s">
        <v>69</v>
      </c>
      <c r="B52" s="1" t="s">
        <v>49</v>
      </c>
      <c r="C52" s="1">
        <v>0.28924348076994422</v>
      </c>
      <c r="D52" s="1">
        <v>1.1534330069348772E-2</v>
      </c>
      <c r="E52" s="1">
        <v>0.62375000000000003</v>
      </c>
      <c r="F52" s="1">
        <v>135.81636479587499</v>
      </c>
      <c r="G52" s="5">
        <v>8.93333333333333</v>
      </c>
      <c r="H52" s="4">
        <v>31.911976693189001</v>
      </c>
      <c r="I52" s="4">
        <v>2975.3349859863602</v>
      </c>
      <c r="J52" s="1">
        <v>2</v>
      </c>
      <c r="K52" s="1">
        <v>12</v>
      </c>
      <c r="L52" s="7">
        <v>8</v>
      </c>
      <c r="M52" s="1">
        <v>13</v>
      </c>
      <c r="N52" s="1">
        <v>5</v>
      </c>
      <c r="O52" s="4">
        <v>10.3498356164384</v>
      </c>
      <c r="P52" s="4">
        <v>1.0247035573122529</v>
      </c>
      <c r="Q52" s="8">
        <v>1693.2811879999999</v>
      </c>
      <c r="R52" s="8">
        <v>119</v>
      </c>
      <c r="S52" s="5">
        <v>0.68833333333333302</v>
      </c>
      <c r="T52" s="5">
        <v>3.3933333333333301E-2</v>
      </c>
      <c r="U52" s="1">
        <v>10</v>
      </c>
      <c r="V52" s="1">
        <v>46.303077029999997</v>
      </c>
      <c r="W52" s="1">
        <v>6.1381935470000002</v>
      </c>
      <c r="X52" s="1">
        <v>0</v>
      </c>
      <c r="Y52" s="1">
        <v>1</v>
      </c>
      <c r="Z52" s="4">
        <f t="shared" si="0"/>
        <v>-2.4703557312252933E-2</v>
      </c>
    </row>
    <row r="53" spans="1:26" x14ac:dyDescent="0.15">
      <c r="A53" s="1" t="s">
        <v>70</v>
      </c>
      <c r="B53" s="1" t="s">
        <v>49</v>
      </c>
      <c r="F53" s="1">
        <v>645.915976543125</v>
      </c>
      <c r="G53" s="5">
        <v>15.79</v>
      </c>
      <c r="H53" s="4">
        <v>4.7080088285166601</v>
      </c>
      <c r="I53" s="4">
        <v>182.09057220215999</v>
      </c>
      <c r="J53" s="1">
        <v>30</v>
      </c>
      <c r="K53" s="1">
        <v>3</v>
      </c>
      <c r="L53" s="7">
        <v>7</v>
      </c>
      <c r="M53" s="1">
        <v>8</v>
      </c>
      <c r="N53" s="1">
        <v>5</v>
      </c>
      <c r="O53" s="4">
        <v>10.3498356164384</v>
      </c>
      <c r="P53" s="4">
        <v>0.9677734375</v>
      </c>
      <c r="Q53" s="8">
        <v>391.30246319999998</v>
      </c>
      <c r="R53" s="8">
        <v>59</v>
      </c>
      <c r="S53" s="5">
        <v>5.2766666666666699</v>
      </c>
      <c r="T53" s="5">
        <v>0.13693333333333299</v>
      </c>
      <c r="U53" s="1">
        <v>55</v>
      </c>
      <c r="V53" s="1">
        <v>46.230974320000001</v>
      </c>
      <c r="W53" s="1">
        <v>6.2400004100000004</v>
      </c>
      <c r="X53" s="1">
        <v>1</v>
      </c>
      <c r="Y53" s="1">
        <v>1</v>
      </c>
      <c r="Z53" s="4">
        <f t="shared" si="0"/>
        <v>3.22265625E-2</v>
      </c>
    </row>
    <row r="54" spans="1:26" x14ac:dyDescent="0.15">
      <c r="A54" s="1" t="s">
        <v>71</v>
      </c>
      <c r="B54" s="1" t="s">
        <v>49</v>
      </c>
      <c r="F54" s="1">
        <v>378.2298985425</v>
      </c>
      <c r="G54" s="5">
        <v>36.4</v>
      </c>
      <c r="H54" s="4">
        <v>534.37813784075195</v>
      </c>
      <c r="I54" s="4">
        <v>510.33180707423298</v>
      </c>
      <c r="J54" s="1">
        <v>50</v>
      </c>
      <c r="K54" s="1">
        <v>10</v>
      </c>
      <c r="L54" s="7">
        <v>8</v>
      </c>
      <c r="M54" s="1">
        <v>8</v>
      </c>
      <c r="N54" s="1">
        <v>3</v>
      </c>
      <c r="O54" s="4">
        <v>10.3498356164384</v>
      </c>
      <c r="P54" s="4">
        <v>0.9677734375</v>
      </c>
      <c r="Q54" s="8">
        <v>208.15935049999999</v>
      </c>
      <c r="R54" s="8">
        <v>37</v>
      </c>
      <c r="S54" s="5">
        <v>1.64333333333333</v>
      </c>
      <c r="T54" s="5">
        <v>0.259566666666667</v>
      </c>
      <c r="U54" s="1">
        <v>40</v>
      </c>
      <c r="V54" s="1">
        <v>46.232017589999998</v>
      </c>
      <c r="W54" s="1">
        <v>6.2391674850000003</v>
      </c>
      <c r="X54" s="1">
        <v>1</v>
      </c>
      <c r="Y54" s="1">
        <v>0</v>
      </c>
      <c r="Z54" s="4">
        <f t="shared" si="0"/>
        <v>3.22265625E-2</v>
      </c>
    </row>
    <row r="55" spans="1:26" x14ac:dyDescent="0.15">
      <c r="A55" s="1" t="s">
        <v>72</v>
      </c>
      <c r="B55" s="1" t="s">
        <v>49</v>
      </c>
      <c r="C55" s="1">
        <v>0.37302092200669279</v>
      </c>
      <c r="D55" s="1">
        <v>9.1065855633814842E-3</v>
      </c>
      <c r="E55" s="1">
        <v>0.56933333350000004</v>
      </c>
      <c r="F55" s="1">
        <v>235.80837204900001</v>
      </c>
      <c r="G55" s="5">
        <v>9</v>
      </c>
      <c r="H55" s="4">
        <v>34.905912808039098</v>
      </c>
      <c r="I55" s="4">
        <v>449.19902747966302</v>
      </c>
      <c r="J55" s="1">
        <v>35</v>
      </c>
      <c r="K55" s="1">
        <v>15</v>
      </c>
      <c r="L55" s="7">
        <v>7</v>
      </c>
      <c r="M55" s="1">
        <v>11</v>
      </c>
      <c r="N55" s="1">
        <v>3</v>
      </c>
      <c r="O55" s="4">
        <v>10.3498356164384</v>
      </c>
      <c r="P55" s="4">
        <v>0.99901864573110888</v>
      </c>
      <c r="Q55" s="8">
        <v>917.34981530000005</v>
      </c>
      <c r="R55" s="8">
        <v>64</v>
      </c>
      <c r="S55" s="5">
        <v>0.67666666666666697</v>
      </c>
      <c r="T55" s="5">
        <v>9.2366666666666694E-2</v>
      </c>
      <c r="U55" s="1">
        <v>11</v>
      </c>
      <c r="V55" s="1">
        <v>46.252693909999998</v>
      </c>
      <c r="W55" s="1">
        <v>6.2819570220000003</v>
      </c>
      <c r="X55" s="1">
        <v>1</v>
      </c>
      <c r="Y55" s="1">
        <v>1</v>
      </c>
      <c r="Z55" s="4">
        <f t="shared" si="0"/>
        <v>9.8135426889112143E-4</v>
      </c>
    </row>
    <row r="56" spans="1:26" x14ac:dyDescent="0.15">
      <c r="A56" s="1" t="s">
        <v>73</v>
      </c>
      <c r="B56" s="1" t="s">
        <v>49</v>
      </c>
      <c r="C56" s="1">
        <v>0.29349395747363038</v>
      </c>
      <c r="D56" s="1">
        <v>1.1512645516184906E-2</v>
      </c>
      <c r="E56" s="1">
        <v>1.056</v>
      </c>
      <c r="F56" s="1">
        <v>556.26528431871395</v>
      </c>
      <c r="G56" s="5">
        <v>13.5666666666667</v>
      </c>
      <c r="H56" s="4">
        <v>43.260548307999699</v>
      </c>
      <c r="I56" s="4">
        <v>517.81704857678994</v>
      </c>
      <c r="J56" s="1">
        <v>15</v>
      </c>
      <c r="K56" s="1">
        <v>17</v>
      </c>
      <c r="L56" s="7">
        <v>6</v>
      </c>
      <c r="M56" s="1">
        <v>11</v>
      </c>
      <c r="N56" s="7">
        <v>2</v>
      </c>
      <c r="O56" s="4">
        <v>10.3498356164384</v>
      </c>
      <c r="P56" s="4">
        <v>0.99901864573110888</v>
      </c>
      <c r="Q56" s="8">
        <v>1294.5933889999999</v>
      </c>
      <c r="R56" s="8">
        <v>106</v>
      </c>
      <c r="S56" s="5">
        <v>0.69</v>
      </c>
      <c r="T56" s="5">
        <v>9.9699999999999997E-2</v>
      </c>
      <c r="U56" s="1">
        <v>5</v>
      </c>
      <c r="V56" s="1">
        <v>46.252459190000003</v>
      </c>
      <c r="W56" s="1">
        <v>6.2814125169999997</v>
      </c>
      <c r="X56" s="1">
        <v>1</v>
      </c>
      <c r="Y56" s="1">
        <v>1</v>
      </c>
      <c r="Z56" s="4">
        <f t="shared" si="0"/>
        <v>9.8135426889112143E-4</v>
      </c>
    </row>
    <row r="57" spans="1:26" x14ac:dyDescent="0.15">
      <c r="A57" s="1" t="s">
        <v>74</v>
      </c>
      <c r="B57" s="1" t="s">
        <v>49</v>
      </c>
      <c r="E57" s="1">
        <v>2.0049999999999999</v>
      </c>
      <c r="F57" s="1">
        <v>215.432711190839</v>
      </c>
      <c r="G57" s="5">
        <v>12.0766666666667</v>
      </c>
      <c r="H57" s="4">
        <v>176.75822256233999</v>
      </c>
      <c r="I57" s="4">
        <v>156.98666827189101</v>
      </c>
      <c r="J57" s="1">
        <v>10</v>
      </c>
      <c r="K57" s="1">
        <v>18</v>
      </c>
      <c r="L57" s="7">
        <v>7</v>
      </c>
      <c r="M57" s="1">
        <v>9</v>
      </c>
      <c r="N57" s="1">
        <v>8</v>
      </c>
      <c r="O57" s="4">
        <v>10.3498356164384</v>
      </c>
      <c r="P57" s="4">
        <v>0.99901864573110888</v>
      </c>
      <c r="Q57" s="8">
        <v>2317.404419</v>
      </c>
      <c r="R57" s="8">
        <v>125</v>
      </c>
      <c r="S57" s="5">
        <v>0.92</v>
      </c>
      <c r="T57" s="5">
        <v>0.13446666666666701</v>
      </c>
      <c r="U57" s="1">
        <v>26</v>
      </c>
      <c r="V57" s="1">
        <v>46.250885969999999</v>
      </c>
      <c r="W57" s="1">
        <v>6.2773533940000004</v>
      </c>
      <c r="X57" s="1">
        <v>1</v>
      </c>
      <c r="Y57" s="1">
        <v>1</v>
      </c>
      <c r="Z57" s="4">
        <f t="shared" si="0"/>
        <v>9.8135426889112143E-4</v>
      </c>
    </row>
    <row r="58" spans="1:26" x14ac:dyDescent="0.15">
      <c r="A58" s="1" t="s">
        <v>75</v>
      </c>
      <c r="B58" s="1" t="s">
        <v>49</v>
      </c>
      <c r="C58" s="1">
        <v>0.25607990728307717</v>
      </c>
      <c r="D58" s="1">
        <v>1.8743334269594035E-2</v>
      </c>
      <c r="E58" s="1">
        <v>2.177</v>
      </c>
      <c r="F58" s="1">
        <v>563.85299515149995</v>
      </c>
      <c r="G58" s="5">
        <v>11.733333333333301</v>
      </c>
      <c r="H58" s="4">
        <v>670.10612608071199</v>
      </c>
      <c r="I58" s="4">
        <v>157.996738148193</v>
      </c>
      <c r="J58" s="1">
        <v>5</v>
      </c>
      <c r="K58" s="1">
        <v>16</v>
      </c>
      <c r="L58" s="7">
        <v>5</v>
      </c>
      <c r="M58" s="1">
        <v>8</v>
      </c>
      <c r="N58" s="1">
        <v>2</v>
      </c>
      <c r="O58" s="4">
        <v>10.3498356164384</v>
      </c>
      <c r="P58" s="4">
        <v>0.96494644595910417</v>
      </c>
      <c r="Q58" s="8">
        <v>12163.250309999999</v>
      </c>
      <c r="R58" s="8">
        <v>184</v>
      </c>
      <c r="S58" s="5">
        <v>1.8433333333333299</v>
      </c>
      <c r="T58" s="5">
        <v>0.16473333333333301</v>
      </c>
      <c r="U58" s="1">
        <v>90</v>
      </c>
      <c r="V58" s="1">
        <v>46.240854460000001</v>
      </c>
      <c r="W58" s="1">
        <v>6.2210530290000001</v>
      </c>
      <c r="X58" s="1">
        <v>1</v>
      </c>
      <c r="Y58" s="1">
        <v>1</v>
      </c>
      <c r="Z58" s="4">
        <f t="shared" si="0"/>
        <v>3.5053554040895829E-2</v>
      </c>
    </row>
    <row r="59" spans="1:26" x14ac:dyDescent="0.15">
      <c r="A59" s="1" t="s">
        <v>76</v>
      </c>
      <c r="B59" s="1" t="s">
        <v>49</v>
      </c>
      <c r="C59" s="1">
        <v>0.31693106257398651</v>
      </c>
      <c r="D59" s="1">
        <v>1.4218942736022899E-2</v>
      </c>
      <c r="E59" s="1">
        <v>3.09</v>
      </c>
      <c r="F59" s="1">
        <v>339.01769277033299</v>
      </c>
      <c r="G59" s="5">
        <v>26.59</v>
      </c>
      <c r="H59" s="4">
        <v>529.98228959762298</v>
      </c>
      <c r="I59" s="4">
        <v>591.70671205636802</v>
      </c>
      <c r="J59" s="1">
        <v>35</v>
      </c>
      <c r="K59" s="1">
        <v>18</v>
      </c>
      <c r="L59" s="7">
        <v>15</v>
      </c>
      <c r="M59" s="1">
        <v>14</v>
      </c>
      <c r="N59" s="1">
        <v>2</v>
      </c>
      <c r="O59" s="4">
        <v>10.628123287671199</v>
      </c>
      <c r="P59" s="4">
        <v>1.0540275049115913</v>
      </c>
      <c r="Q59" s="8">
        <v>1909.273083</v>
      </c>
      <c r="R59" s="8">
        <v>100</v>
      </c>
      <c r="S59" s="5">
        <v>0.77666666666666695</v>
      </c>
      <c r="T59" s="5">
        <v>9.6766666666666695E-2</v>
      </c>
      <c r="U59" s="1">
        <v>55</v>
      </c>
      <c r="V59" s="1">
        <v>46.307899399999997</v>
      </c>
      <c r="W59" s="1">
        <v>6.1199304269999999</v>
      </c>
      <c r="X59" s="1">
        <v>1</v>
      </c>
      <c r="Y59" s="1">
        <v>1</v>
      </c>
      <c r="Z59" s="4">
        <f t="shared" si="0"/>
        <v>-5.4027504911591251E-2</v>
      </c>
    </row>
    <row r="60" spans="1:26" x14ac:dyDescent="0.15">
      <c r="A60" s="1" t="s">
        <v>77</v>
      </c>
      <c r="B60" s="1" t="s">
        <v>49</v>
      </c>
      <c r="C60" s="1">
        <v>0.25667633537330592</v>
      </c>
      <c r="D60" s="1">
        <v>2.1618724933208652E-2</v>
      </c>
      <c r="E60" s="1">
        <v>1.8865000000000001</v>
      </c>
      <c r="F60" s="1">
        <v>313.171285280375</v>
      </c>
      <c r="G60" s="5">
        <v>38.066666666666698</v>
      </c>
      <c r="H60" s="4">
        <v>76.698471200009607</v>
      </c>
      <c r="I60" s="4">
        <v>441.62494198278102</v>
      </c>
      <c r="J60" s="1">
        <v>2</v>
      </c>
      <c r="K60" s="1">
        <v>9</v>
      </c>
      <c r="L60" s="7">
        <v>9</v>
      </c>
      <c r="M60" s="1">
        <v>6</v>
      </c>
      <c r="N60" s="1">
        <v>3</v>
      </c>
      <c r="O60" s="4">
        <v>10.628123287671199</v>
      </c>
      <c r="P60" s="4">
        <v>0.95942028985507244</v>
      </c>
      <c r="Q60" s="8">
        <v>598.70256710000001</v>
      </c>
      <c r="R60" s="8">
        <v>100</v>
      </c>
      <c r="S60" s="5">
        <v>4.6733333333333302</v>
      </c>
      <c r="T60" s="5">
        <v>0.10440000000000001</v>
      </c>
      <c r="U60" s="1">
        <v>72</v>
      </c>
      <c r="V60" s="1">
        <v>46.180853839999997</v>
      </c>
      <c r="W60" s="1">
        <v>6.0496166210000002</v>
      </c>
      <c r="X60" s="1">
        <v>1</v>
      </c>
      <c r="Y60" s="1">
        <v>1</v>
      </c>
      <c r="Z60" s="4">
        <f t="shared" si="0"/>
        <v>4.0579710144927561E-2</v>
      </c>
    </row>
    <row r="61" spans="1:26" x14ac:dyDescent="0.15">
      <c r="A61" s="1" t="s">
        <v>78</v>
      </c>
      <c r="B61" s="1" t="s">
        <v>49</v>
      </c>
      <c r="C61" s="1">
        <v>0.45051953120165078</v>
      </c>
      <c r="D61" s="1">
        <v>8.7473566013301918E-3</v>
      </c>
      <c r="E61" s="1">
        <v>0.17100000000000001</v>
      </c>
      <c r="F61" s="1">
        <v>38.532043605624999</v>
      </c>
      <c r="G61" s="5">
        <v>12.335000000000001</v>
      </c>
      <c r="H61" s="4">
        <v>10.303949480686899</v>
      </c>
      <c r="I61" s="4">
        <v>1539.26751942449</v>
      </c>
      <c r="J61" s="1">
        <v>90</v>
      </c>
      <c r="K61" s="1">
        <v>13</v>
      </c>
      <c r="L61" s="7">
        <v>6</v>
      </c>
      <c r="M61" s="1">
        <v>8</v>
      </c>
      <c r="N61" s="1">
        <v>6</v>
      </c>
      <c r="O61" s="4">
        <v>10.3498356164384</v>
      </c>
      <c r="P61" s="4">
        <v>1.0247035573122529</v>
      </c>
      <c r="Q61" s="8">
        <v>684.04949829999998</v>
      </c>
      <c r="R61" s="8">
        <v>22</v>
      </c>
      <c r="S61" s="5">
        <v>1.0945</v>
      </c>
      <c r="T61" s="5">
        <v>6.3899999999999998E-2</v>
      </c>
      <c r="U61" s="1">
        <v>20</v>
      </c>
      <c r="V61" s="1">
        <v>46.303762999999996</v>
      </c>
      <c r="W61" s="1">
        <v>6.1399203729999998</v>
      </c>
      <c r="X61" s="1">
        <v>0</v>
      </c>
      <c r="Y61" s="1">
        <v>0</v>
      </c>
      <c r="Z61" s="4">
        <f t="shared" si="0"/>
        <v>-2.4703557312252933E-2</v>
      </c>
    </row>
    <row r="62" spans="1:26" x14ac:dyDescent="0.15">
      <c r="A62" s="1" t="s">
        <v>79</v>
      </c>
      <c r="B62" s="1" t="s">
        <v>80</v>
      </c>
      <c r="C62" s="1">
        <v>0.34612765000000001</v>
      </c>
      <c r="D62" s="1">
        <v>1.1126967999999999E-2</v>
      </c>
      <c r="E62" s="1">
        <v>0.39491666650000001</v>
      </c>
      <c r="F62" s="1">
        <v>250.95247300209999</v>
      </c>
      <c r="G62" s="5">
        <v>19.011111111000002</v>
      </c>
      <c r="H62" s="4">
        <v>613.383269212154</v>
      </c>
      <c r="I62" s="4">
        <v>1148.36090869132</v>
      </c>
      <c r="J62" s="1">
        <v>10</v>
      </c>
      <c r="K62" s="1">
        <v>19</v>
      </c>
      <c r="L62" s="7">
        <v>10</v>
      </c>
      <c r="M62" s="1">
        <v>12</v>
      </c>
      <c r="N62" s="1">
        <v>2</v>
      </c>
      <c r="O62" s="4">
        <v>10.335506849315101</v>
      </c>
      <c r="P62" s="4">
        <v>0.6376306620209059</v>
      </c>
      <c r="Q62" s="8">
        <v>2901</v>
      </c>
      <c r="R62" s="8">
        <v>125</v>
      </c>
      <c r="S62" s="5">
        <v>1.36666666666667</v>
      </c>
      <c r="T62" s="5">
        <v>0.36699999999999999</v>
      </c>
      <c r="U62" s="1">
        <v>90</v>
      </c>
      <c r="V62" s="1">
        <v>52.474144889999998</v>
      </c>
      <c r="W62" s="1">
        <v>14.11152298</v>
      </c>
      <c r="X62" s="1">
        <v>1</v>
      </c>
      <c r="Y62" s="1">
        <v>1</v>
      </c>
      <c r="Z62" s="4">
        <f t="shared" si="0"/>
        <v>0.3623693379790941</v>
      </c>
    </row>
    <row r="63" spans="1:26" x14ac:dyDescent="0.15">
      <c r="A63" s="1" t="s">
        <v>81</v>
      </c>
      <c r="B63" s="1" t="s">
        <v>80</v>
      </c>
      <c r="C63" s="1">
        <v>0.45387724600000001</v>
      </c>
      <c r="D63" s="1">
        <v>1.6370768000000001E-2</v>
      </c>
      <c r="E63" s="1">
        <v>0.59366666700000004</v>
      </c>
      <c r="F63" s="1">
        <v>264.71785834000002</v>
      </c>
      <c r="G63" s="5">
        <v>41.016666665000002</v>
      </c>
      <c r="H63" s="4">
        <v>104.35345262214599</v>
      </c>
      <c r="I63" s="4">
        <v>634.97937078447296</v>
      </c>
      <c r="J63" s="1">
        <v>80</v>
      </c>
      <c r="K63" s="1">
        <v>17</v>
      </c>
      <c r="L63" s="7">
        <v>10</v>
      </c>
      <c r="M63" s="1">
        <v>12</v>
      </c>
      <c r="N63" s="1">
        <v>6</v>
      </c>
      <c r="O63" s="4">
        <v>10.335506849315101</v>
      </c>
      <c r="P63" s="4">
        <v>0.64135514018691586</v>
      </c>
      <c r="Q63" s="8">
        <v>420</v>
      </c>
      <c r="R63" s="8">
        <v>52</v>
      </c>
      <c r="S63" s="5">
        <v>5.05</v>
      </c>
      <c r="T63" s="5">
        <v>1.7204999999999999</v>
      </c>
      <c r="U63" s="1">
        <v>95</v>
      </c>
      <c r="V63" s="1">
        <v>52.47014609</v>
      </c>
      <c r="W63" s="1">
        <v>14.12125223</v>
      </c>
      <c r="X63" s="1">
        <v>1</v>
      </c>
      <c r="Y63" s="1">
        <v>0</v>
      </c>
      <c r="Z63" s="4">
        <f t="shared" si="0"/>
        <v>0.35864485981308414</v>
      </c>
    </row>
    <row r="64" spans="1:26" x14ac:dyDescent="0.15">
      <c r="A64" s="1" t="s">
        <v>82</v>
      </c>
      <c r="B64" s="1" t="s">
        <v>80</v>
      </c>
      <c r="C64" s="1">
        <v>0.59734941500000005</v>
      </c>
      <c r="D64" s="1">
        <v>4.9442690000000003E-3</v>
      </c>
      <c r="E64" s="1">
        <v>1.598333333</v>
      </c>
      <c r="G64" s="5">
        <v>468.96666664999998</v>
      </c>
      <c r="H64" s="4"/>
      <c r="I64" s="4">
        <v>266.43438091570101</v>
      </c>
      <c r="J64" s="1">
        <v>20</v>
      </c>
      <c r="K64" s="1">
        <v>15</v>
      </c>
      <c r="L64" s="1">
        <v>1</v>
      </c>
      <c r="M64" s="1">
        <v>6</v>
      </c>
      <c r="N64" s="1">
        <v>1</v>
      </c>
      <c r="O64" s="4">
        <v>10.411767123287699</v>
      </c>
      <c r="P64" s="4">
        <v>0.63551401869158874</v>
      </c>
      <c r="Q64" s="8">
        <v>3030</v>
      </c>
      <c r="R64" s="8">
        <v>41</v>
      </c>
      <c r="S64" s="5">
        <v>5.4</v>
      </c>
      <c r="T64" s="5">
        <v>0.88800000000000001</v>
      </c>
      <c r="U64" s="1">
        <v>99</v>
      </c>
      <c r="V64" s="1">
        <v>52.47297915</v>
      </c>
      <c r="W64" s="1">
        <v>14.125854439999999</v>
      </c>
      <c r="X64" s="1">
        <v>0</v>
      </c>
      <c r="Y64" s="1">
        <v>0</v>
      </c>
      <c r="Z64" s="4">
        <f t="shared" si="0"/>
        <v>0.36448598130841126</v>
      </c>
    </row>
    <row r="65" spans="1:26" x14ac:dyDescent="0.15">
      <c r="A65" s="1" t="s">
        <v>83</v>
      </c>
      <c r="B65" s="1" t="s">
        <v>80</v>
      </c>
      <c r="C65" s="1">
        <v>0.38644979499999998</v>
      </c>
      <c r="D65" s="1">
        <v>2.8454699E-2</v>
      </c>
      <c r="E65" s="1">
        <v>4.7220000000000004</v>
      </c>
      <c r="F65" s="1">
        <v>601.50328178642803</v>
      </c>
      <c r="G65" s="5">
        <v>191.31666666500001</v>
      </c>
      <c r="H65" s="4">
        <v>288.94276473712699</v>
      </c>
      <c r="I65" s="4">
        <v>7107.2462511533904</v>
      </c>
      <c r="J65" s="1">
        <v>30</v>
      </c>
      <c r="K65" s="1">
        <v>13</v>
      </c>
      <c r="L65" s="7">
        <v>11</v>
      </c>
      <c r="M65" s="1">
        <v>6</v>
      </c>
      <c r="N65" s="1">
        <v>3</v>
      </c>
      <c r="O65" s="4">
        <v>10.411767123287699</v>
      </c>
      <c r="P65" s="4">
        <v>0.63551401869158874</v>
      </c>
      <c r="Q65" s="8">
        <v>598</v>
      </c>
      <c r="R65" s="8">
        <v>38</v>
      </c>
      <c r="S65" s="5">
        <v>8.8000000000000007</v>
      </c>
      <c r="T65" s="5">
        <v>2.3130000000000002</v>
      </c>
      <c r="U65" s="1">
        <v>100</v>
      </c>
      <c r="V65" s="1">
        <v>52.473960409999997</v>
      </c>
      <c r="W65" s="1">
        <v>14.13163389</v>
      </c>
      <c r="X65" s="1">
        <v>0</v>
      </c>
      <c r="Y65" s="1">
        <v>0</v>
      </c>
      <c r="Z65" s="4">
        <f t="shared" si="0"/>
        <v>0.36448598130841126</v>
      </c>
    </row>
    <row r="66" spans="1:26" x14ac:dyDescent="0.15">
      <c r="A66" s="1" t="s">
        <v>84</v>
      </c>
      <c r="B66" s="1" t="s">
        <v>80</v>
      </c>
      <c r="C66" s="1">
        <v>0.61760688900000005</v>
      </c>
      <c r="D66" s="1">
        <v>1.5513518E-2</v>
      </c>
      <c r="E66" s="1">
        <v>1.579</v>
      </c>
      <c r="G66" s="5">
        <v>31.533333330000001</v>
      </c>
      <c r="H66" s="4">
        <v>115.220812679932</v>
      </c>
      <c r="I66" s="4">
        <v>1200.7823909582301</v>
      </c>
      <c r="J66" s="1">
        <v>80</v>
      </c>
      <c r="K66" s="1">
        <v>15</v>
      </c>
      <c r="L66" s="7">
        <v>8</v>
      </c>
      <c r="M66" s="1">
        <v>12</v>
      </c>
      <c r="N66" s="1">
        <v>2</v>
      </c>
      <c r="O66" s="4">
        <v>10.411767123287699</v>
      </c>
      <c r="P66" s="4">
        <v>0.63551401869158874</v>
      </c>
      <c r="Q66" s="8">
        <v>146</v>
      </c>
      <c r="R66" s="8">
        <v>19</v>
      </c>
      <c r="S66" s="5">
        <v>5.0999999999999996</v>
      </c>
      <c r="T66" s="5">
        <v>1.607</v>
      </c>
      <c r="U66" s="1">
        <v>100</v>
      </c>
      <c r="V66" s="1">
        <v>52.472664780000002</v>
      </c>
      <c r="W66" s="1">
        <v>14.135231470000001</v>
      </c>
      <c r="X66" s="1">
        <v>0</v>
      </c>
      <c r="Y66" s="1">
        <v>0</v>
      </c>
      <c r="Z66" s="4">
        <f t="shared" si="0"/>
        <v>0.36448598130841126</v>
      </c>
    </row>
    <row r="67" spans="1:26" x14ac:dyDescent="0.15">
      <c r="A67" s="1" t="s">
        <v>85</v>
      </c>
      <c r="B67" s="1" t="s">
        <v>80</v>
      </c>
      <c r="C67" s="1">
        <v>0.338144255</v>
      </c>
      <c r="D67" s="1">
        <v>1.2624453000000001E-2</v>
      </c>
      <c r="E67" s="1">
        <v>2.6709999999999998</v>
      </c>
      <c r="F67" s="1">
        <v>59.223498470714297</v>
      </c>
      <c r="G67" s="5">
        <v>14.233333334999999</v>
      </c>
      <c r="H67" s="4">
        <v>678.895492946025</v>
      </c>
      <c r="I67" s="4">
        <v>1512.70997655462</v>
      </c>
      <c r="J67" s="1">
        <v>70</v>
      </c>
      <c r="K67" s="1">
        <v>14</v>
      </c>
      <c r="L67" s="7">
        <v>9</v>
      </c>
      <c r="M67" s="1">
        <v>8</v>
      </c>
      <c r="N67" s="1">
        <v>3</v>
      </c>
      <c r="O67" s="4">
        <v>10.3111506849315</v>
      </c>
      <c r="P67" s="4">
        <v>0.65822784810126578</v>
      </c>
      <c r="Q67" s="8">
        <v>1089</v>
      </c>
      <c r="R67" s="8">
        <v>108</v>
      </c>
      <c r="S67" s="5">
        <v>1.3</v>
      </c>
      <c r="T67" s="5">
        <v>9.0499999999999997E-2</v>
      </c>
      <c r="U67" s="1">
        <v>55</v>
      </c>
      <c r="V67" s="1">
        <v>52.480744999999999</v>
      </c>
      <c r="W67" s="1">
        <v>13.699017</v>
      </c>
      <c r="X67" s="1">
        <v>1</v>
      </c>
      <c r="Y67" s="1">
        <v>0</v>
      </c>
      <c r="Z67" s="4">
        <f t="shared" ref="Z67:Z130" si="1">1-P67</f>
        <v>0.34177215189873422</v>
      </c>
    </row>
    <row r="68" spans="1:26" x14ac:dyDescent="0.15">
      <c r="A68" s="1" t="s">
        <v>86</v>
      </c>
      <c r="B68" s="1" t="s">
        <v>80</v>
      </c>
      <c r="C68" s="1">
        <v>0.37209417500000003</v>
      </c>
      <c r="D68" s="1">
        <v>1.6073027E-2</v>
      </c>
      <c r="F68" s="1">
        <v>138.5766477965</v>
      </c>
      <c r="G68" s="5">
        <v>367.61666666500003</v>
      </c>
      <c r="H68" s="4">
        <v>105.531420404225</v>
      </c>
      <c r="I68" s="4">
        <v>1351.1532797294101</v>
      </c>
      <c r="J68" s="1">
        <v>20</v>
      </c>
      <c r="K68" s="1">
        <v>18</v>
      </c>
      <c r="L68" s="7">
        <v>8</v>
      </c>
      <c r="M68" s="1">
        <v>9</v>
      </c>
      <c r="N68" s="1">
        <v>3</v>
      </c>
      <c r="O68" s="4">
        <v>10.411767123287699</v>
      </c>
      <c r="P68" s="4">
        <v>0.58644859813084116</v>
      </c>
      <c r="Q68" s="8">
        <v>2169</v>
      </c>
      <c r="R68" s="8">
        <v>24</v>
      </c>
      <c r="S68" s="5">
        <v>3.2</v>
      </c>
      <c r="T68" s="5">
        <v>0.32200000000000001</v>
      </c>
      <c r="U68" s="1">
        <v>65</v>
      </c>
      <c r="V68" s="1">
        <v>52.460271300000002</v>
      </c>
      <c r="W68" s="1">
        <v>14.37097928</v>
      </c>
      <c r="X68" s="1">
        <v>1</v>
      </c>
      <c r="Y68" s="1">
        <v>0</v>
      </c>
      <c r="Z68" s="4">
        <f t="shared" si="1"/>
        <v>0.41355140186915884</v>
      </c>
    </row>
    <row r="69" spans="1:26" x14ac:dyDescent="0.15">
      <c r="A69" s="1" t="s">
        <v>87</v>
      </c>
      <c r="B69" s="1" t="s">
        <v>80</v>
      </c>
      <c r="E69" s="1">
        <v>8.8849999999999998</v>
      </c>
      <c r="F69" s="1">
        <v>89.393060535000004</v>
      </c>
      <c r="G69" s="5">
        <v>88.686666665000004</v>
      </c>
      <c r="H69" s="4">
        <v>8.4621504727691299</v>
      </c>
      <c r="I69" s="4">
        <v>1916.2713143194201</v>
      </c>
      <c r="J69" s="1">
        <v>30</v>
      </c>
      <c r="K69" s="1">
        <v>12</v>
      </c>
      <c r="L69" s="7">
        <v>7</v>
      </c>
      <c r="M69" s="1">
        <v>5</v>
      </c>
      <c r="N69" s="1">
        <v>1</v>
      </c>
      <c r="O69" s="4">
        <v>10.411767123287699</v>
      </c>
      <c r="P69" s="4">
        <v>0.58576429404900821</v>
      </c>
      <c r="Q69" s="8">
        <v>1233</v>
      </c>
      <c r="R69" s="8">
        <v>25</v>
      </c>
      <c r="S69" s="5">
        <v>3.25</v>
      </c>
      <c r="T69" s="5">
        <v>0.98499999999999999</v>
      </c>
      <c r="U69" s="1">
        <v>80</v>
      </c>
      <c r="V69" s="1">
        <v>52.459249999999997</v>
      </c>
      <c r="W69" s="1">
        <v>14.357068</v>
      </c>
      <c r="X69" s="1">
        <v>1</v>
      </c>
      <c r="Y69" s="1">
        <v>0</v>
      </c>
      <c r="Z69" s="4">
        <f t="shared" si="1"/>
        <v>0.41423570595099179</v>
      </c>
    </row>
    <row r="70" spans="1:26" x14ac:dyDescent="0.15">
      <c r="A70" s="1" t="s">
        <v>88</v>
      </c>
      <c r="B70" s="1" t="s">
        <v>80</v>
      </c>
      <c r="C70" s="1">
        <v>0.34062199199999998</v>
      </c>
      <c r="D70" s="1">
        <v>1.384461E-2</v>
      </c>
      <c r="E70" s="1">
        <v>4.7489999999999997</v>
      </c>
      <c r="F70" s="1">
        <v>120.97463065125</v>
      </c>
      <c r="G70" s="5">
        <v>39.450000000000003</v>
      </c>
      <c r="H70" s="4">
        <v>1071.1794114424099</v>
      </c>
      <c r="I70" s="4">
        <v>3639.0142461289402</v>
      </c>
      <c r="J70" s="1">
        <v>40</v>
      </c>
      <c r="K70" s="1">
        <v>11</v>
      </c>
      <c r="L70" s="7">
        <v>6</v>
      </c>
      <c r="M70" s="1">
        <v>13</v>
      </c>
      <c r="N70" s="1">
        <v>3</v>
      </c>
      <c r="O70" s="4">
        <v>10.411767123287699</v>
      </c>
      <c r="P70" s="4">
        <v>0.58576429404900821</v>
      </c>
      <c r="Q70" s="8">
        <v>453</v>
      </c>
      <c r="R70" s="8">
        <v>75</v>
      </c>
      <c r="S70" s="5">
        <v>2.4500000000000002</v>
      </c>
      <c r="T70" s="5">
        <v>0.34599999999999997</v>
      </c>
      <c r="U70" s="1">
        <v>75</v>
      </c>
      <c r="V70" s="1">
        <v>52.459137079999998</v>
      </c>
      <c r="W70" s="1">
        <v>14.352761210000001</v>
      </c>
      <c r="X70" s="1">
        <v>1</v>
      </c>
      <c r="Y70" s="1">
        <v>0</v>
      </c>
      <c r="Z70" s="4">
        <f t="shared" si="1"/>
        <v>0.41423570595099179</v>
      </c>
    </row>
    <row r="71" spans="1:26" x14ac:dyDescent="0.15">
      <c r="A71" s="1" t="s">
        <v>89</v>
      </c>
      <c r="B71" s="1" t="s">
        <v>80</v>
      </c>
      <c r="C71" s="1">
        <v>0.30775399199999998</v>
      </c>
      <c r="D71" s="1">
        <v>1.3905647E-2</v>
      </c>
      <c r="E71" s="1">
        <v>8.83</v>
      </c>
      <c r="F71" s="1">
        <v>337.81957472250002</v>
      </c>
      <c r="G71" s="5">
        <v>15.65</v>
      </c>
      <c r="H71" s="4">
        <v>18.859109482121202</v>
      </c>
      <c r="I71" s="4">
        <v>1814.9593573485199</v>
      </c>
      <c r="J71" s="1">
        <v>10</v>
      </c>
      <c r="K71" s="1">
        <v>12</v>
      </c>
      <c r="L71" s="7">
        <v>4</v>
      </c>
      <c r="M71" s="1">
        <v>12</v>
      </c>
      <c r="N71" s="1">
        <v>2</v>
      </c>
      <c r="O71" s="4">
        <v>10.411767123287699</v>
      </c>
      <c r="P71" s="4">
        <v>0.58576429404900821</v>
      </c>
      <c r="Q71" s="8">
        <v>3014</v>
      </c>
      <c r="R71" s="8">
        <v>59</v>
      </c>
      <c r="S71" s="5">
        <v>4.05</v>
      </c>
      <c r="T71" s="5">
        <v>0.36399999999999999</v>
      </c>
      <c r="U71" s="1">
        <v>80</v>
      </c>
      <c r="V71" s="1">
        <v>52.460077630000001</v>
      </c>
      <c r="W71" s="1">
        <v>14.352678129999999</v>
      </c>
      <c r="X71" s="1">
        <v>1</v>
      </c>
      <c r="Y71" s="1">
        <v>0</v>
      </c>
      <c r="Z71" s="4">
        <f t="shared" si="1"/>
        <v>0.41423570595099179</v>
      </c>
    </row>
    <row r="72" spans="1:26" x14ac:dyDescent="0.15">
      <c r="A72" s="1" t="s">
        <v>90</v>
      </c>
      <c r="B72" s="1" t="s">
        <v>80</v>
      </c>
      <c r="C72" s="1">
        <v>0.32961815100000003</v>
      </c>
      <c r="D72" s="1">
        <v>1.2511298000000001E-2</v>
      </c>
      <c r="E72" s="1">
        <v>1.2818333335000001</v>
      </c>
      <c r="F72" s="1">
        <v>180.61420011249999</v>
      </c>
      <c r="G72" s="5">
        <v>80.533333333333303</v>
      </c>
      <c r="H72" s="4">
        <v>254.46502564513199</v>
      </c>
      <c r="I72" s="4">
        <v>5272.3396798138601</v>
      </c>
      <c r="J72" s="1">
        <v>30</v>
      </c>
      <c r="K72" s="1">
        <v>16</v>
      </c>
      <c r="L72" s="7">
        <v>6</v>
      </c>
      <c r="M72" s="1">
        <v>13</v>
      </c>
      <c r="N72" s="1">
        <v>2</v>
      </c>
      <c r="O72" s="4">
        <v>9.6214794520547908</v>
      </c>
      <c r="P72" s="4">
        <v>0.66332916145181475</v>
      </c>
      <c r="Q72" s="8">
        <v>499</v>
      </c>
      <c r="R72" s="8">
        <v>67</v>
      </c>
      <c r="S72" s="5">
        <v>2.7666666666666702</v>
      </c>
      <c r="T72" s="5">
        <v>0.19600000000000001</v>
      </c>
      <c r="U72" s="1">
        <v>93</v>
      </c>
      <c r="V72" s="1">
        <v>53.37950489</v>
      </c>
      <c r="W72" s="1">
        <v>13.663290010000001</v>
      </c>
      <c r="X72" s="1">
        <v>1</v>
      </c>
      <c r="Y72" s="1">
        <v>1</v>
      </c>
      <c r="Z72" s="4">
        <f t="shared" si="1"/>
        <v>0.33667083854818525</v>
      </c>
    </row>
    <row r="73" spans="1:26" x14ac:dyDescent="0.15">
      <c r="A73" s="1" t="s">
        <v>91</v>
      </c>
      <c r="B73" s="1" t="s">
        <v>80</v>
      </c>
      <c r="C73" s="1">
        <v>0.406112362</v>
      </c>
      <c r="D73" s="1">
        <v>8.318219E-3</v>
      </c>
      <c r="E73" s="1">
        <v>2.9049999999999998</v>
      </c>
      <c r="F73" s="1">
        <v>20.520213898166698</v>
      </c>
      <c r="G73" s="5">
        <v>365.73333335000001</v>
      </c>
      <c r="H73" s="4">
        <v>2.99651109794749</v>
      </c>
      <c r="I73" s="4">
        <v>186.603978594734</v>
      </c>
      <c r="J73" s="1">
        <v>15</v>
      </c>
      <c r="K73" s="1">
        <v>15</v>
      </c>
      <c r="L73" s="7">
        <v>3</v>
      </c>
      <c r="M73" s="1">
        <v>5</v>
      </c>
      <c r="N73" s="1">
        <v>0</v>
      </c>
      <c r="O73" s="4">
        <v>9.6424931506849294</v>
      </c>
      <c r="P73" s="4">
        <v>0.68216080402010049</v>
      </c>
      <c r="Q73" s="8">
        <v>187</v>
      </c>
      <c r="R73" s="8">
        <v>38</v>
      </c>
      <c r="S73" s="5">
        <v>8.8000000000000007</v>
      </c>
      <c r="T73" s="5">
        <v>1.8005</v>
      </c>
      <c r="U73" s="1">
        <v>95</v>
      </c>
      <c r="V73" s="1">
        <v>53.324258309999998</v>
      </c>
      <c r="W73" s="1">
        <v>13.62306192</v>
      </c>
      <c r="X73" s="1">
        <v>0</v>
      </c>
      <c r="Y73" s="1">
        <v>0</v>
      </c>
      <c r="Z73" s="4">
        <f t="shared" si="1"/>
        <v>0.31783919597989951</v>
      </c>
    </row>
    <row r="74" spans="1:26" x14ac:dyDescent="0.15">
      <c r="A74" s="1" t="s">
        <v>92</v>
      </c>
      <c r="B74" s="1" t="s">
        <v>80</v>
      </c>
      <c r="C74" s="1">
        <v>0.35652136899999998</v>
      </c>
      <c r="D74" s="1">
        <v>1.5437935999999999E-2</v>
      </c>
      <c r="E74" s="1">
        <v>1.9039999999999999</v>
      </c>
      <c r="F74" s="1">
        <v>861.67354087750005</v>
      </c>
      <c r="G74" s="5">
        <v>62.511111110000002</v>
      </c>
      <c r="H74" s="4">
        <v>40.824140111108697</v>
      </c>
      <c r="I74" s="4">
        <v>2710.7352391394002</v>
      </c>
      <c r="J74" s="1">
        <v>80</v>
      </c>
      <c r="K74" s="1">
        <v>14</v>
      </c>
      <c r="L74" s="7">
        <v>9</v>
      </c>
      <c r="M74" s="1">
        <v>10</v>
      </c>
      <c r="N74" s="1">
        <v>0</v>
      </c>
      <c r="O74" s="4">
        <v>9.6926575342465693</v>
      </c>
      <c r="P74" s="4">
        <v>0.67964824120603018</v>
      </c>
      <c r="Q74" s="8">
        <v>2109</v>
      </c>
      <c r="R74" s="8">
        <v>52</v>
      </c>
      <c r="S74" s="5">
        <v>2.8666666666666698</v>
      </c>
      <c r="T74" s="5">
        <v>0.957666666666667</v>
      </c>
      <c r="U74" s="1">
        <v>97</v>
      </c>
      <c r="V74" s="1">
        <v>53.322407069999997</v>
      </c>
      <c r="W74" s="1">
        <v>13.62802853</v>
      </c>
      <c r="X74" s="1">
        <v>0</v>
      </c>
      <c r="Y74" s="1">
        <v>0</v>
      </c>
      <c r="Z74" s="4">
        <f t="shared" si="1"/>
        <v>0.32035175879396982</v>
      </c>
    </row>
    <row r="75" spans="1:26" x14ac:dyDescent="0.15">
      <c r="A75" s="1" t="s">
        <v>93</v>
      </c>
      <c r="B75" s="1" t="s">
        <v>80</v>
      </c>
      <c r="C75" s="1">
        <v>0.28703667900000002</v>
      </c>
      <c r="D75" s="1">
        <v>2.1284645000000001E-2</v>
      </c>
      <c r="E75" s="1">
        <v>3.2481666665</v>
      </c>
      <c r="F75" s="1">
        <v>339.61842464766698</v>
      </c>
      <c r="G75" s="5">
        <v>90.244444443333293</v>
      </c>
      <c r="H75" s="4">
        <v>12.3303298900729</v>
      </c>
      <c r="I75" s="4">
        <v>284.10148996789502</v>
      </c>
      <c r="J75" s="1">
        <v>1</v>
      </c>
      <c r="K75" s="1">
        <v>7</v>
      </c>
      <c r="L75" s="7">
        <v>3</v>
      </c>
      <c r="M75" s="1">
        <v>7</v>
      </c>
      <c r="N75" s="1">
        <v>5</v>
      </c>
      <c r="O75" s="4">
        <v>9.6424931506849294</v>
      </c>
      <c r="P75" s="4">
        <v>0.68216080402010049</v>
      </c>
      <c r="Q75" s="8">
        <v>128</v>
      </c>
      <c r="R75" s="8">
        <v>76</v>
      </c>
      <c r="S75" s="5">
        <v>5.9666666666666703</v>
      </c>
      <c r="T75" s="5">
        <v>1.4913333333333301</v>
      </c>
      <c r="U75" s="1">
        <v>100</v>
      </c>
      <c r="V75" s="1">
        <v>53.322369999999999</v>
      </c>
      <c r="W75" s="1">
        <v>13.623226000000001</v>
      </c>
      <c r="X75" s="1">
        <v>0</v>
      </c>
      <c r="Y75" s="1">
        <v>0</v>
      </c>
      <c r="Z75" s="4">
        <f t="shared" si="1"/>
        <v>0.31783919597989951</v>
      </c>
    </row>
    <row r="76" spans="1:26" x14ac:dyDescent="0.15">
      <c r="A76" s="1" t="s">
        <v>94</v>
      </c>
      <c r="B76" s="1" t="s">
        <v>80</v>
      </c>
      <c r="C76" s="1">
        <v>0.36247781499999998</v>
      </c>
      <c r="D76" s="1">
        <v>1.2266579999999999E-2</v>
      </c>
      <c r="E76" s="1">
        <v>4.7083333334999997</v>
      </c>
      <c r="F76" s="1">
        <v>1253.80045654833</v>
      </c>
      <c r="G76" s="5">
        <v>225.52222222333299</v>
      </c>
      <c r="H76" s="4">
        <v>223.67845500031299</v>
      </c>
      <c r="I76" s="4">
        <v>1345.81431464875</v>
      </c>
      <c r="J76" s="1">
        <v>15</v>
      </c>
      <c r="K76" s="1">
        <v>6</v>
      </c>
      <c r="L76" s="7">
        <v>4</v>
      </c>
      <c r="M76" s="1">
        <v>13</v>
      </c>
      <c r="N76" s="1">
        <v>2</v>
      </c>
      <c r="O76" s="4">
        <v>9.6424931506849294</v>
      </c>
      <c r="P76" s="4">
        <v>0.68664169787765295</v>
      </c>
      <c r="Q76" s="8">
        <v>390</v>
      </c>
      <c r="R76" s="8">
        <v>117</v>
      </c>
      <c r="S76" s="5">
        <v>3.1</v>
      </c>
      <c r="T76" s="5">
        <v>1.01366666666667</v>
      </c>
      <c r="U76" s="1">
        <v>75</v>
      </c>
      <c r="V76" s="1">
        <v>53.316787470000001</v>
      </c>
      <c r="W76" s="1">
        <v>13.531738239999999</v>
      </c>
      <c r="X76" s="1">
        <v>0</v>
      </c>
      <c r="Y76" s="1">
        <v>1</v>
      </c>
      <c r="Z76" s="4">
        <f t="shared" si="1"/>
        <v>0.31335830212234705</v>
      </c>
    </row>
    <row r="77" spans="1:26" x14ac:dyDescent="0.15">
      <c r="A77" s="1" t="s">
        <v>95</v>
      </c>
      <c r="B77" s="1" t="s">
        <v>80</v>
      </c>
      <c r="C77" s="1">
        <v>0.336727373</v>
      </c>
      <c r="D77" s="1">
        <v>1.7180840999999999E-2</v>
      </c>
      <c r="E77" s="1">
        <v>2.407333333</v>
      </c>
      <c r="F77" s="1">
        <v>804.12328436999996</v>
      </c>
      <c r="G77" s="5">
        <v>133.91111111000001</v>
      </c>
      <c r="H77" s="4">
        <v>5399.3645953472096</v>
      </c>
      <c r="I77" s="4">
        <v>6783.5330475629098</v>
      </c>
      <c r="J77" s="1">
        <v>15</v>
      </c>
      <c r="K77" s="1">
        <v>9</v>
      </c>
      <c r="L77" s="7">
        <v>10</v>
      </c>
      <c r="M77" s="1">
        <v>11</v>
      </c>
      <c r="N77" s="1">
        <v>3</v>
      </c>
      <c r="O77" s="4">
        <v>9.6424931506849294</v>
      </c>
      <c r="P77" s="4">
        <v>0.68079800498753118</v>
      </c>
      <c r="Q77" s="8">
        <v>63</v>
      </c>
      <c r="R77" s="8">
        <v>44</v>
      </c>
      <c r="S77" s="5">
        <v>2.2666666666666702</v>
      </c>
      <c r="T77" s="5">
        <v>0.63266666666666704</v>
      </c>
      <c r="U77" s="1">
        <v>100</v>
      </c>
      <c r="V77" s="1">
        <v>53.306581799999996</v>
      </c>
      <c r="W77" s="1">
        <v>13.566731499999999</v>
      </c>
      <c r="X77" s="1">
        <v>0</v>
      </c>
      <c r="Y77" s="1">
        <v>0</v>
      </c>
      <c r="Z77" s="4">
        <f t="shared" si="1"/>
        <v>0.31920199501246882</v>
      </c>
    </row>
    <row r="78" spans="1:26" x14ac:dyDescent="0.15">
      <c r="A78" s="1" t="s">
        <v>96</v>
      </c>
      <c r="B78" s="1" t="s">
        <v>80</v>
      </c>
      <c r="C78" s="1">
        <v>0.31912769699999999</v>
      </c>
      <c r="E78" s="1">
        <v>10.388</v>
      </c>
      <c r="F78" s="1">
        <v>302.64600282775001</v>
      </c>
      <c r="G78" s="5">
        <v>69.444444443333296</v>
      </c>
      <c r="H78" s="4">
        <v>862.18823188352405</v>
      </c>
      <c r="I78" s="4">
        <v>73.857342561989299</v>
      </c>
      <c r="J78" s="1">
        <v>5</v>
      </c>
      <c r="K78" s="1">
        <v>7</v>
      </c>
      <c r="L78" s="7">
        <v>6</v>
      </c>
      <c r="M78" s="1">
        <v>9</v>
      </c>
      <c r="N78" s="7">
        <v>7</v>
      </c>
      <c r="O78" s="4">
        <v>9.6424931506849294</v>
      </c>
      <c r="P78" s="4">
        <v>0.68164794007490637</v>
      </c>
      <c r="Q78" s="8">
        <v>1260</v>
      </c>
      <c r="R78" s="8">
        <v>250</v>
      </c>
      <c r="S78" s="5">
        <v>1.7</v>
      </c>
      <c r="T78" s="5">
        <v>0.371</v>
      </c>
      <c r="U78" s="1">
        <v>95</v>
      </c>
      <c r="V78" s="1">
        <v>53.299571229999998</v>
      </c>
      <c r="W78" s="1">
        <v>13.55407795</v>
      </c>
      <c r="X78" s="1">
        <v>1</v>
      </c>
      <c r="Y78" s="1">
        <v>1</v>
      </c>
      <c r="Z78" s="4">
        <f t="shared" si="1"/>
        <v>0.31835205992509363</v>
      </c>
    </row>
    <row r="79" spans="1:26" x14ac:dyDescent="0.15">
      <c r="A79" s="1" t="s">
        <v>97</v>
      </c>
      <c r="B79" s="1" t="s">
        <v>80</v>
      </c>
      <c r="C79" s="1">
        <v>0.31496195399999999</v>
      </c>
      <c r="E79" s="1">
        <v>4.0421666665</v>
      </c>
      <c r="F79" s="1">
        <v>683.47738657785703</v>
      </c>
      <c r="G79" s="5">
        <v>75.888888899999998</v>
      </c>
      <c r="H79" s="4">
        <v>3095.7914053753698</v>
      </c>
      <c r="I79" s="4">
        <v>799.83737471508505</v>
      </c>
      <c r="J79" s="1">
        <v>5</v>
      </c>
      <c r="K79" s="1">
        <v>15</v>
      </c>
      <c r="L79" s="7">
        <v>4</v>
      </c>
      <c r="M79" s="1">
        <v>12</v>
      </c>
      <c r="N79" s="1">
        <v>1</v>
      </c>
      <c r="O79" s="4">
        <v>9.6424931506849294</v>
      </c>
      <c r="P79" s="4">
        <v>0.68164794007490637</v>
      </c>
      <c r="Q79" s="8">
        <v>731</v>
      </c>
      <c r="R79" s="8">
        <v>91</v>
      </c>
      <c r="S79" s="5">
        <v>3.6333333333333302</v>
      </c>
      <c r="T79" s="5">
        <v>1.75566666666667</v>
      </c>
      <c r="U79" s="1">
        <v>95</v>
      </c>
      <c r="V79" s="1">
        <v>53.299856699999999</v>
      </c>
      <c r="W79" s="1">
        <v>13.55228191</v>
      </c>
      <c r="X79" s="1">
        <v>1</v>
      </c>
      <c r="Y79" s="1">
        <v>1</v>
      </c>
      <c r="Z79" s="4">
        <f t="shared" si="1"/>
        <v>0.31835205992509363</v>
      </c>
    </row>
    <row r="80" spans="1:26" x14ac:dyDescent="0.15">
      <c r="A80" s="1" t="s">
        <v>98</v>
      </c>
      <c r="B80" s="1" t="s">
        <v>80</v>
      </c>
      <c r="C80" s="1">
        <v>0.27447555899999998</v>
      </c>
      <c r="D80" s="1">
        <v>2.1568275000000001E-2</v>
      </c>
      <c r="E80" s="1">
        <v>5.9015000000000004</v>
      </c>
      <c r="F80" s="1">
        <v>364.42725722753602</v>
      </c>
      <c r="G80" s="5">
        <v>162</v>
      </c>
      <c r="H80" s="4">
        <v>132.13274502846599</v>
      </c>
      <c r="I80" s="4">
        <v>72.6379162281536</v>
      </c>
      <c r="J80" s="1">
        <v>1</v>
      </c>
      <c r="K80" s="1">
        <v>22</v>
      </c>
      <c r="L80" s="7">
        <v>7</v>
      </c>
      <c r="M80" s="1">
        <v>8</v>
      </c>
      <c r="N80" s="1">
        <v>0</v>
      </c>
      <c r="O80" s="4">
        <v>10.3111506849315</v>
      </c>
      <c r="P80" s="4">
        <v>0.65371428571428569</v>
      </c>
      <c r="Q80" s="8">
        <v>4059</v>
      </c>
      <c r="R80" s="8">
        <v>92</v>
      </c>
      <c r="S80" s="5">
        <v>1.86666666666667</v>
      </c>
      <c r="T80" s="5">
        <v>0.22466666666666699</v>
      </c>
      <c r="U80" s="1">
        <v>30</v>
      </c>
      <c r="V80" s="1">
        <v>52.482447999999998</v>
      </c>
      <c r="W80" s="1">
        <v>13.688966000000001</v>
      </c>
      <c r="X80" s="1">
        <v>1</v>
      </c>
      <c r="Y80" s="1">
        <v>1</v>
      </c>
      <c r="Z80" s="4">
        <f t="shared" si="1"/>
        <v>0.34628571428571431</v>
      </c>
    </row>
    <row r="81" spans="1:26" x14ac:dyDescent="0.15">
      <c r="A81" s="1" t="s">
        <v>99</v>
      </c>
      <c r="B81" s="1" t="s">
        <v>80</v>
      </c>
      <c r="C81" s="1">
        <v>0.397348331</v>
      </c>
      <c r="D81" s="1">
        <v>1.6040964000000001E-2</v>
      </c>
      <c r="G81" s="5">
        <v>13.233333330000001</v>
      </c>
      <c r="H81" s="4">
        <v>1201.06603505929</v>
      </c>
      <c r="I81" s="4">
        <v>280.785527783421</v>
      </c>
      <c r="J81" s="1">
        <v>85</v>
      </c>
      <c r="K81" s="1">
        <v>5</v>
      </c>
      <c r="L81" s="7">
        <v>5</v>
      </c>
      <c r="M81" s="1">
        <v>6</v>
      </c>
      <c r="N81" s="1">
        <v>3</v>
      </c>
      <c r="O81" s="4">
        <v>10.3111506849315</v>
      </c>
      <c r="P81" s="4">
        <v>0.65371428571428569</v>
      </c>
      <c r="Q81" s="8">
        <v>437</v>
      </c>
      <c r="R81" s="8">
        <v>12</v>
      </c>
      <c r="S81" s="5">
        <v>2.9</v>
      </c>
      <c r="T81" s="5">
        <v>9.9000000000000005E-2</v>
      </c>
      <c r="U81" s="1">
        <v>80</v>
      </c>
      <c r="V81" s="1">
        <v>52.485191929999999</v>
      </c>
      <c r="W81" s="1">
        <v>13.675334700000001</v>
      </c>
      <c r="X81" s="1">
        <v>0</v>
      </c>
      <c r="Y81" s="1">
        <v>0</v>
      </c>
      <c r="Z81" s="4">
        <f t="shared" si="1"/>
        <v>0.34628571428571431</v>
      </c>
    </row>
    <row r="82" spans="1:26" x14ac:dyDescent="0.15">
      <c r="A82" s="1" t="s">
        <v>100</v>
      </c>
      <c r="B82" s="1" t="s">
        <v>80</v>
      </c>
      <c r="E82" s="1">
        <v>5.3847500000000004</v>
      </c>
      <c r="F82" s="1">
        <v>1036.609981351</v>
      </c>
      <c r="G82" s="5">
        <v>322.55555556666701</v>
      </c>
      <c r="H82" s="4">
        <v>7.0441793125874002</v>
      </c>
      <c r="I82" s="4">
        <v>207.44731799769701</v>
      </c>
      <c r="J82" s="1">
        <v>30</v>
      </c>
      <c r="K82" s="1">
        <v>7</v>
      </c>
      <c r="L82" s="7">
        <v>3</v>
      </c>
      <c r="M82" s="1">
        <v>2</v>
      </c>
      <c r="N82" s="1">
        <v>0</v>
      </c>
      <c r="O82" s="4">
        <v>10.3111506849315</v>
      </c>
      <c r="P82" s="4">
        <v>0.64645308924485123</v>
      </c>
      <c r="Q82" s="8">
        <v>449</v>
      </c>
      <c r="R82" s="8">
        <v>78</v>
      </c>
      <c r="S82" s="5">
        <v>2.1</v>
      </c>
      <c r="T82" s="5">
        <v>0.22033333333333299</v>
      </c>
      <c r="U82" s="1">
        <v>36</v>
      </c>
      <c r="V82" s="1">
        <v>52.474548740000003</v>
      </c>
      <c r="W82" s="1">
        <v>13.663801429999999</v>
      </c>
      <c r="X82" s="1">
        <v>1</v>
      </c>
      <c r="Y82" s="1">
        <v>1</v>
      </c>
      <c r="Z82" s="4">
        <f t="shared" si="1"/>
        <v>0.35354691075514877</v>
      </c>
    </row>
    <row r="83" spans="1:26" x14ac:dyDescent="0.15">
      <c r="A83" s="1" t="s">
        <v>101</v>
      </c>
      <c r="B83" s="1" t="s">
        <v>80</v>
      </c>
      <c r="C83" s="1">
        <v>0.31337376300000003</v>
      </c>
      <c r="D83" s="1">
        <v>1.4249369E-2</v>
      </c>
      <c r="E83" s="1">
        <v>1.088666667</v>
      </c>
      <c r="F83" s="1">
        <v>154.865574438214</v>
      </c>
      <c r="G83" s="5">
        <v>35.311111111000002</v>
      </c>
      <c r="H83" s="4">
        <v>3475.5536077752799</v>
      </c>
      <c r="I83" s="4">
        <v>101.906824478338</v>
      </c>
      <c r="J83" s="1">
        <v>20</v>
      </c>
      <c r="K83" s="1">
        <v>9</v>
      </c>
      <c r="L83" s="7">
        <v>4</v>
      </c>
      <c r="M83" s="1">
        <v>5</v>
      </c>
      <c r="N83" s="1">
        <v>2</v>
      </c>
      <c r="O83" s="4">
        <v>10.3111506849315</v>
      </c>
      <c r="P83" s="4">
        <v>0.6560364464692483</v>
      </c>
      <c r="Q83" s="8">
        <v>857</v>
      </c>
      <c r="R83" s="8">
        <v>83</v>
      </c>
      <c r="S83" s="5">
        <v>0.96666666666666701</v>
      </c>
      <c r="T83" s="5">
        <v>0.311</v>
      </c>
      <c r="U83" s="1">
        <v>47</v>
      </c>
      <c r="V83" s="1">
        <v>52.494599370000003</v>
      </c>
      <c r="W83" s="1">
        <v>13.70900746</v>
      </c>
      <c r="X83" s="1">
        <v>1</v>
      </c>
      <c r="Y83" s="1">
        <v>0</v>
      </c>
      <c r="Z83" s="4">
        <f t="shared" si="1"/>
        <v>0.3439635535307517</v>
      </c>
    </row>
    <row r="84" spans="1:26" x14ac:dyDescent="0.15">
      <c r="A84" s="1" t="s">
        <v>102</v>
      </c>
      <c r="B84" s="1" t="s">
        <v>80</v>
      </c>
      <c r="C84" s="1">
        <v>0.370021979</v>
      </c>
      <c r="D84" s="1">
        <v>1.9628118E-2</v>
      </c>
      <c r="E84" s="1">
        <v>2.3439999999999999</v>
      </c>
      <c r="F84" s="1">
        <v>175.514189738071</v>
      </c>
      <c r="G84" s="5">
        <v>44.822222223333299</v>
      </c>
      <c r="H84" s="4">
        <v>2924.6314833552001</v>
      </c>
      <c r="I84" s="4">
        <v>54.6474432476397</v>
      </c>
      <c r="J84" s="1">
        <v>5</v>
      </c>
      <c r="K84" s="1">
        <v>8</v>
      </c>
      <c r="L84" s="7">
        <v>7</v>
      </c>
      <c r="M84" s="1">
        <v>9</v>
      </c>
      <c r="N84" s="1">
        <v>0</v>
      </c>
      <c r="O84" s="4">
        <v>10.3111506849315</v>
      </c>
      <c r="P84" s="4">
        <v>0.65521191294387171</v>
      </c>
      <c r="Q84" s="8">
        <v>851</v>
      </c>
      <c r="R84" s="8">
        <v>87</v>
      </c>
      <c r="S84" s="5">
        <v>1.43333333333333</v>
      </c>
      <c r="T84" s="5">
        <v>0.10566666666666701</v>
      </c>
      <c r="U84" s="1">
        <v>27</v>
      </c>
      <c r="V84" s="1">
        <v>52.473271019999999</v>
      </c>
      <c r="W84" s="1">
        <v>13.696775860000001</v>
      </c>
      <c r="X84" s="1">
        <v>1</v>
      </c>
      <c r="Y84" s="1">
        <v>1</v>
      </c>
      <c r="Z84" s="4">
        <f t="shared" si="1"/>
        <v>0.34478808705612829</v>
      </c>
    </row>
    <row r="85" spans="1:26" x14ac:dyDescent="0.15">
      <c r="A85" s="1" t="s">
        <v>103</v>
      </c>
      <c r="B85" s="1" t="s">
        <v>80</v>
      </c>
      <c r="C85" s="1">
        <v>0.49626524999999999</v>
      </c>
      <c r="D85" s="1">
        <v>2.6282988E-2</v>
      </c>
      <c r="E85" s="1">
        <v>9.0736666669999995</v>
      </c>
      <c r="F85" s="1">
        <v>7.1110916308999998</v>
      </c>
      <c r="G85" s="5">
        <v>88.883333335000003</v>
      </c>
      <c r="H85" s="4">
        <v>30.435187233524299</v>
      </c>
      <c r="I85" s="4">
        <v>1459.97650518163</v>
      </c>
      <c r="J85" s="1">
        <v>50</v>
      </c>
      <c r="K85" s="1">
        <v>15</v>
      </c>
      <c r="L85" s="7">
        <v>6</v>
      </c>
      <c r="M85" s="1">
        <v>10</v>
      </c>
      <c r="N85" s="1">
        <v>3</v>
      </c>
      <c r="O85" s="4">
        <v>10.411767123287699</v>
      </c>
      <c r="P85" s="4">
        <v>0.63035921205098489</v>
      </c>
      <c r="Q85" s="8">
        <v>2262</v>
      </c>
      <c r="R85" s="8">
        <v>24</v>
      </c>
      <c r="S85" s="5">
        <v>3.7</v>
      </c>
      <c r="T85" s="5">
        <v>0.23599999999999999</v>
      </c>
      <c r="U85" s="1">
        <v>70</v>
      </c>
      <c r="V85" s="1">
        <v>52.495827030000001</v>
      </c>
      <c r="W85" s="1">
        <v>14.12531384</v>
      </c>
      <c r="X85" s="1">
        <v>1</v>
      </c>
      <c r="Y85" s="1">
        <v>0</v>
      </c>
      <c r="Z85" s="4">
        <f t="shared" si="1"/>
        <v>0.36964078794901511</v>
      </c>
    </row>
    <row r="86" spans="1:26" x14ac:dyDescent="0.15">
      <c r="A86" s="1" t="s">
        <v>104</v>
      </c>
      <c r="B86" s="1" t="s">
        <v>80</v>
      </c>
      <c r="C86" s="1">
        <v>0.31093645800000003</v>
      </c>
      <c r="D86" s="1">
        <v>1.9109810000000001E-2</v>
      </c>
      <c r="E86" s="1">
        <v>1.43</v>
      </c>
      <c r="F86" s="1">
        <v>245.01844549328601</v>
      </c>
      <c r="G86" s="5">
        <v>39.544444443333298</v>
      </c>
      <c r="H86" s="4">
        <v>207.71394645633899</v>
      </c>
      <c r="I86" s="4">
        <v>1745.41491880491</v>
      </c>
      <c r="J86" s="1">
        <v>80</v>
      </c>
      <c r="K86" s="1">
        <v>19</v>
      </c>
      <c r="L86" s="7">
        <v>10</v>
      </c>
      <c r="M86" s="1">
        <v>7</v>
      </c>
      <c r="N86" s="1">
        <v>3</v>
      </c>
      <c r="O86" s="4">
        <v>10.411767123287699</v>
      </c>
      <c r="P86" s="4">
        <v>0.63329452852153667</v>
      </c>
      <c r="Q86" s="8">
        <v>648</v>
      </c>
      <c r="R86" s="8">
        <v>57</v>
      </c>
      <c r="S86" s="5">
        <v>2.2333333333333298</v>
      </c>
      <c r="T86" s="5">
        <v>0.200333333333333</v>
      </c>
      <c r="U86" s="1">
        <v>100</v>
      </c>
      <c r="V86" s="1">
        <v>52.471712740000001</v>
      </c>
      <c r="W86" s="1">
        <v>14.144748829999999</v>
      </c>
      <c r="X86" s="1">
        <v>0</v>
      </c>
      <c r="Y86" s="1">
        <v>0</v>
      </c>
      <c r="Z86" s="4">
        <f t="shared" si="1"/>
        <v>0.36670547147846333</v>
      </c>
    </row>
    <row r="87" spans="1:26" x14ac:dyDescent="0.15">
      <c r="A87" s="1" t="s">
        <v>105</v>
      </c>
      <c r="B87" s="1" t="s">
        <v>80</v>
      </c>
      <c r="C87" s="1">
        <v>0.49203048700000002</v>
      </c>
      <c r="D87" s="1">
        <v>3.9705197999999997E-2</v>
      </c>
      <c r="E87" s="1">
        <v>7.4889999999999999</v>
      </c>
      <c r="F87" s="1">
        <v>11.43724203925</v>
      </c>
      <c r="G87" s="5">
        <v>34.299999999999997</v>
      </c>
      <c r="H87" s="4">
        <v>189.21025722721501</v>
      </c>
      <c r="I87" s="4">
        <v>264.41830223093598</v>
      </c>
      <c r="J87" s="1">
        <v>5</v>
      </c>
      <c r="K87" s="1">
        <v>12</v>
      </c>
      <c r="L87" s="7">
        <v>8</v>
      </c>
      <c r="M87" s="1">
        <v>8</v>
      </c>
      <c r="N87" s="1">
        <v>4</v>
      </c>
      <c r="O87" s="4">
        <v>10.411767123287699</v>
      </c>
      <c r="P87" s="4">
        <v>0.62268518518518523</v>
      </c>
      <c r="Q87" s="8">
        <v>1460</v>
      </c>
      <c r="R87" s="8">
        <v>16</v>
      </c>
      <c r="S87" s="5">
        <v>2.75</v>
      </c>
      <c r="T87" s="5">
        <v>0.504</v>
      </c>
      <c r="U87" s="1">
        <v>80</v>
      </c>
      <c r="V87" s="1">
        <v>52.480300319999998</v>
      </c>
      <c r="W87" s="1">
        <v>14.19141613</v>
      </c>
      <c r="X87" s="1">
        <v>1</v>
      </c>
      <c r="Y87" s="1">
        <v>0</v>
      </c>
      <c r="Z87" s="4">
        <f t="shared" si="1"/>
        <v>0.37731481481481477</v>
      </c>
    </row>
    <row r="88" spans="1:26" x14ac:dyDescent="0.15">
      <c r="A88" s="1" t="s">
        <v>106</v>
      </c>
      <c r="B88" s="1" t="s">
        <v>80</v>
      </c>
      <c r="C88" s="1">
        <v>0.26145557000000003</v>
      </c>
      <c r="E88" s="1">
        <v>21.087833334999999</v>
      </c>
      <c r="F88" s="1">
        <v>472.00298487600003</v>
      </c>
      <c r="G88" s="5">
        <v>279.18888886666701</v>
      </c>
      <c r="H88" s="4">
        <v>114.234900195992</v>
      </c>
      <c r="I88" s="4">
        <v>39.467052872650797</v>
      </c>
      <c r="J88" s="1">
        <v>15</v>
      </c>
      <c r="K88" s="1">
        <v>13</v>
      </c>
      <c r="L88" s="7">
        <v>8</v>
      </c>
      <c r="M88" s="1">
        <v>5</v>
      </c>
      <c r="N88" s="1">
        <v>2</v>
      </c>
      <c r="O88" s="4">
        <v>10.411767123287699</v>
      </c>
      <c r="P88" s="4">
        <v>0.62980209545983701</v>
      </c>
      <c r="Q88" s="8">
        <v>4949</v>
      </c>
      <c r="R88" s="8">
        <v>23</v>
      </c>
      <c r="S88" s="5">
        <v>8.9666666666666703</v>
      </c>
      <c r="T88" s="5">
        <v>2.5710000000000002</v>
      </c>
      <c r="U88" s="1">
        <v>85</v>
      </c>
      <c r="V88" s="1">
        <v>52.522101759999998</v>
      </c>
      <c r="W88" s="1">
        <v>14.14459375</v>
      </c>
      <c r="X88" s="1">
        <v>0</v>
      </c>
      <c r="Y88" s="1">
        <v>0</v>
      </c>
      <c r="Z88" s="4">
        <f t="shared" si="1"/>
        <v>0.37019790454016299</v>
      </c>
    </row>
    <row r="89" spans="1:26" x14ac:dyDescent="0.15">
      <c r="A89" s="1" t="s">
        <v>107</v>
      </c>
      <c r="B89" s="1" t="s">
        <v>80</v>
      </c>
      <c r="C89" s="1">
        <v>0.64863851500000003</v>
      </c>
      <c r="D89" s="1">
        <v>5.0607939999999997E-2</v>
      </c>
      <c r="E89" s="1">
        <v>8.1059999999999999</v>
      </c>
      <c r="F89" s="1">
        <v>7.2807771032500002</v>
      </c>
      <c r="G89" s="5">
        <v>41.733333330000001</v>
      </c>
      <c r="H89" s="4">
        <v>120.374009410645</v>
      </c>
      <c r="I89" s="4">
        <v>8869.6536922078994</v>
      </c>
      <c r="J89" s="1">
        <v>80</v>
      </c>
      <c r="K89" s="1">
        <v>11</v>
      </c>
      <c r="L89" s="7">
        <v>9</v>
      </c>
      <c r="M89" s="1">
        <v>13</v>
      </c>
      <c r="N89" s="1">
        <v>4</v>
      </c>
      <c r="O89" s="4">
        <v>10.411767123287699</v>
      </c>
      <c r="P89" s="4">
        <v>0.62833914053426243</v>
      </c>
      <c r="Q89" s="8">
        <v>399</v>
      </c>
      <c r="R89" s="8">
        <v>30</v>
      </c>
      <c r="S89" s="5">
        <v>2.8</v>
      </c>
      <c r="T89" s="5">
        <v>1.3120000000000001</v>
      </c>
      <c r="U89" s="1">
        <v>65</v>
      </c>
      <c r="V89" s="1">
        <v>52.53009033</v>
      </c>
      <c r="W89" s="1">
        <v>14.13343229</v>
      </c>
      <c r="X89" s="1">
        <v>0</v>
      </c>
      <c r="Y89" s="1">
        <v>0</v>
      </c>
      <c r="Z89" s="4">
        <f t="shared" si="1"/>
        <v>0.37166085946573757</v>
      </c>
    </row>
    <row r="90" spans="1:26" x14ac:dyDescent="0.15">
      <c r="A90" s="1" t="s">
        <v>108</v>
      </c>
      <c r="B90" s="1" t="s">
        <v>80</v>
      </c>
      <c r="C90" s="1">
        <v>0.35445734000000001</v>
      </c>
      <c r="D90" s="1">
        <v>1.5204934999999999E-2</v>
      </c>
      <c r="E90" s="1">
        <v>3.5103333335000002</v>
      </c>
      <c r="F90" s="1">
        <v>299.89061418791698</v>
      </c>
      <c r="G90" s="5">
        <v>67.3333333333333</v>
      </c>
      <c r="H90" s="4">
        <v>147.82300890706901</v>
      </c>
      <c r="I90" s="4">
        <v>900.70663875214302</v>
      </c>
      <c r="J90" s="1">
        <v>10</v>
      </c>
      <c r="K90" s="1">
        <v>11</v>
      </c>
      <c r="L90" s="7">
        <v>9</v>
      </c>
      <c r="M90" s="1">
        <v>11</v>
      </c>
      <c r="N90" s="1">
        <v>0</v>
      </c>
      <c r="O90" s="4">
        <v>9.6214794520547908</v>
      </c>
      <c r="P90" s="4">
        <v>0.6683480453972257</v>
      </c>
      <c r="Q90" s="8">
        <v>2041</v>
      </c>
      <c r="R90" s="8">
        <v>135</v>
      </c>
      <c r="S90" s="5">
        <v>2</v>
      </c>
      <c r="T90" s="5">
        <v>0.28033333333333299</v>
      </c>
      <c r="U90" s="1">
        <v>95</v>
      </c>
      <c r="V90" s="1">
        <v>53.406309039999996</v>
      </c>
      <c r="W90" s="1">
        <v>13.651233899999999</v>
      </c>
      <c r="X90" s="1">
        <v>1</v>
      </c>
      <c r="Y90" s="1">
        <v>1</v>
      </c>
      <c r="Z90" s="4">
        <f t="shared" si="1"/>
        <v>0.3316519546027743</v>
      </c>
    </row>
    <row r="91" spans="1:26" x14ac:dyDescent="0.15">
      <c r="A91" s="1" t="s">
        <v>110</v>
      </c>
      <c r="B91" s="1" t="s">
        <v>109</v>
      </c>
      <c r="E91" s="1">
        <v>3.4599999999999999E-2</v>
      </c>
      <c r="F91" s="1">
        <v>1100.2941028974999</v>
      </c>
      <c r="G91" s="5">
        <v>57.463333333333303</v>
      </c>
      <c r="H91" s="4">
        <v>292.18565891780497</v>
      </c>
      <c r="I91" s="4">
        <v>906.45320424617296</v>
      </c>
      <c r="J91" s="1">
        <v>1</v>
      </c>
      <c r="K91" s="1">
        <v>13</v>
      </c>
      <c r="L91" s="7">
        <v>7</v>
      </c>
      <c r="M91" s="1">
        <v>13</v>
      </c>
      <c r="N91" s="1">
        <v>1</v>
      </c>
      <c r="O91" s="4">
        <v>8.83832876712329</v>
      </c>
      <c r="P91" s="4">
        <v>0.99014084507042255</v>
      </c>
      <c r="Q91" s="8">
        <v>195</v>
      </c>
      <c r="R91" s="8">
        <v>70</v>
      </c>
      <c r="S91" s="5">
        <v>3.2853333333333299</v>
      </c>
      <c r="T91" s="5">
        <v>0.40866666666666701</v>
      </c>
      <c r="U91" s="1">
        <v>50</v>
      </c>
      <c r="V91" s="1">
        <v>56.181840000000001</v>
      </c>
      <c r="W91" s="1">
        <v>9.66953</v>
      </c>
      <c r="X91" s="1">
        <v>1</v>
      </c>
      <c r="Y91" s="1">
        <v>1</v>
      </c>
      <c r="Z91" s="4">
        <f t="shared" si="1"/>
        <v>9.8591549295774517E-3</v>
      </c>
    </row>
    <row r="92" spans="1:26" x14ac:dyDescent="0.15">
      <c r="A92" s="1" t="s">
        <v>111</v>
      </c>
      <c r="B92" s="1" t="s">
        <v>109</v>
      </c>
      <c r="E92" s="1">
        <v>7.7600000000000002E-2</v>
      </c>
      <c r="F92" s="1">
        <v>76.692046457199993</v>
      </c>
      <c r="G92" s="5">
        <v>35.876666666666701</v>
      </c>
      <c r="H92" s="4">
        <v>272.26302991694001</v>
      </c>
      <c r="I92" s="4">
        <v>1143.6114845217201</v>
      </c>
      <c r="J92" s="1">
        <v>1</v>
      </c>
      <c r="K92" s="1">
        <v>10</v>
      </c>
      <c r="L92" s="7">
        <v>6</v>
      </c>
      <c r="M92" s="1">
        <v>9</v>
      </c>
      <c r="N92" s="1">
        <v>3</v>
      </c>
      <c r="O92" s="4">
        <v>8.83832876712329</v>
      </c>
      <c r="P92" s="4">
        <v>0.99434229137199437</v>
      </c>
      <c r="Q92" s="8">
        <v>340</v>
      </c>
      <c r="R92" s="8">
        <v>70</v>
      </c>
      <c r="S92" s="5">
        <v>0.72933333333333294</v>
      </c>
      <c r="T92" s="5">
        <v>0.202333333333333</v>
      </c>
      <c r="U92" s="1">
        <v>85</v>
      </c>
      <c r="V92" s="1">
        <v>56.174520000000001</v>
      </c>
      <c r="W92" s="1">
        <v>9.6714800000000007</v>
      </c>
      <c r="X92" s="1">
        <v>1</v>
      </c>
      <c r="Y92" s="1">
        <v>1</v>
      </c>
      <c r="Z92" s="4">
        <f t="shared" si="1"/>
        <v>5.657708628005631E-3</v>
      </c>
    </row>
    <row r="93" spans="1:26" x14ac:dyDescent="0.15">
      <c r="A93" s="1" t="s">
        <v>112</v>
      </c>
      <c r="B93" s="1" t="s">
        <v>109</v>
      </c>
      <c r="E93" s="1">
        <v>1.5864</v>
      </c>
      <c r="F93" s="1">
        <v>59.988713877125001</v>
      </c>
      <c r="G93" s="5">
        <v>19.313333333333301</v>
      </c>
      <c r="H93" s="4">
        <v>877.993099301435</v>
      </c>
      <c r="I93" s="4">
        <v>806.149358366868</v>
      </c>
      <c r="J93" s="1">
        <v>10</v>
      </c>
      <c r="K93" s="1">
        <v>16</v>
      </c>
      <c r="L93" s="7">
        <v>10</v>
      </c>
      <c r="M93" s="1">
        <v>11</v>
      </c>
      <c r="N93" s="1">
        <v>2</v>
      </c>
      <c r="O93" s="4">
        <v>8.83832876712329</v>
      </c>
      <c r="P93" s="4">
        <v>0.99296765119549935</v>
      </c>
      <c r="Q93" s="8">
        <v>1565</v>
      </c>
      <c r="R93" s="8">
        <v>70</v>
      </c>
      <c r="S93" s="5">
        <v>1.286</v>
      </c>
      <c r="T93" s="5">
        <v>0.166333333333333</v>
      </c>
      <c r="U93" s="1">
        <v>65</v>
      </c>
      <c r="V93" s="1">
        <v>56.151710000000001</v>
      </c>
      <c r="W93" s="1">
        <v>9.7028300000000005</v>
      </c>
      <c r="X93" s="1">
        <v>1</v>
      </c>
      <c r="Y93" s="1">
        <v>1</v>
      </c>
      <c r="Z93" s="4">
        <f t="shared" si="1"/>
        <v>7.0323488045006544E-3</v>
      </c>
    </row>
    <row r="94" spans="1:26" x14ac:dyDescent="0.15">
      <c r="A94" s="1" t="s">
        <v>113</v>
      </c>
      <c r="B94" s="1" t="s">
        <v>109</v>
      </c>
      <c r="F94" s="1">
        <v>210.84861848560001</v>
      </c>
      <c r="G94" s="5">
        <v>15.675000000000001</v>
      </c>
      <c r="H94" s="4">
        <v>1542.22383363022</v>
      </c>
      <c r="I94" s="4">
        <v>86.680738564865507</v>
      </c>
      <c r="J94" s="1">
        <v>10</v>
      </c>
      <c r="K94" s="1">
        <v>6</v>
      </c>
      <c r="L94" s="7">
        <v>7</v>
      </c>
      <c r="M94" s="1">
        <v>5</v>
      </c>
      <c r="N94" s="1">
        <v>3</v>
      </c>
      <c r="O94" s="4">
        <v>9.9439863013698595</v>
      </c>
      <c r="P94" s="4">
        <v>0.96592592592592597</v>
      </c>
      <c r="Q94" s="8">
        <v>500</v>
      </c>
      <c r="R94" s="8">
        <v>70</v>
      </c>
      <c r="S94" s="5">
        <v>2.2246666666666699</v>
      </c>
      <c r="T94" s="5">
        <v>0.76066666666666705</v>
      </c>
      <c r="U94" s="1">
        <v>80</v>
      </c>
      <c r="V94" s="1">
        <v>55.030059999999999</v>
      </c>
      <c r="W94" s="1">
        <v>10.26042</v>
      </c>
      <c r="X94" s="1">
        <v>1</v>
      </c>
      <c r="Y94" s="1">
        <v>1</v>
      </c>
      <c r="Z94" s="4">
        <f t="shared" si="1"/>
        <v>3.4074074074074034E-2</v>
      </c>
    </row>
    <row r="95" spans="1:26" x14ac:dyDescent="0.15">
      <c r="A95" s="1" t="s">
        <v>114</v>
      </c>
      <c r="B95" s="1" t="s">
        <v>109</v>
      </c>
      <c r="F95" s="1">
        <v>599.64416554750005</v>
      </c>
      <c r="G95" s="5">
        <v>32.1933333333333</v>
      </c>
      <c r="H95" s="4">
        <v>927.18043137373002</v>
      </c>
      <c r="I95" s="4">
        <v>56.569256071898003</v>
      </c>
      <c r="J95" s="1">
        <v>10</v>
      </c>
      <c r="K95" s="1">
        <v>21</v>
      </c>
      <c r="L95" s="7">
        <v>6</v>
      </c>
      <c r="M95" s="1">
        <v>7</v>
      </c>
      <c r="N95" s="1">
        <v>2</v>
      </c>
      <c r="O95" s="4">
        <v>10.209383561643801</v>
      </c>
      <c r="P95" s="4">
        <v>0.95936139332365744</v>
      </c>
      <c r="Q95" s="8">
        <v>3360</v>
      </c>
      <c r="R95" s="8">
        <v>150</v>
      </c>
      <c r="S95" s="5">
        <v>3.5249999999999999</v>
      </c>
      <c r="T95" s="5">
        <v>0.36766666666666697</v>
      </c>
      <c r="U95" s="1">
        <v>93</v>
      </c>
      <c r="V95" s="1">
        <v>54.85707</v>
      </c>
      <c r="W95" s="1">
        <v>10.39068</v>
      </c>
      <c r="X95" s="1">
        <v>1</v>
      </c>
      <c r="Y95" s="1">
        <v>1</v>
      </c>
      <c r="Z95" s="4">
        <f t="shared" si="1"/>
        <v>4.0638606676342559E-2</v>
      </c>
    </row>
    <row r="96" spans="1:26" x14ac:dyDescent="0.15">
      <c r="A96" s="1" t="s">
        <v>115</v>
      </c>
      <c r="B96" s="1" t="s">
        <v>109</v>
      </c>
      <c r="E96" s="1">
        <v>6.3399999999999998E-2</v>
      </c>
      <c r="F96" s="1">
        <v>452.60165372366703</v>
      </c>
      <c r="G96" s="5">
        <v>21.468</v>
      </c>
      <c r="H96" s="4">
        <v>1117.22551420332</v>
      </c>
      <c r="I96" s="4">
        <v>505.34452574058099</v>
      </c>
      <c r="J96" s="1">
        <v>35</v>
      </c>
      <c r="K96" s="1">
        <v>14</v>
      </c>
      <c r="L96" s="7">
        <v>7</v>
      </c>
      <c r="M96" s="1">
        <v>11</v>
      </c>
      <c r="N96" s="1">
        <v>3</v>
      </c>
      <c r="O96" s="4">
        <v>9.9439863013698595</v>
      </c>
      <c r="P96" s="4">
        <v>0.69790000000000008</v>
      </c>
      <c r="Q96" s="8">
        <v>240</v>
      </c>
      <c r="R96" s="8">
        <v>130</v>
      </c>
      <c r="S96" s="5">
        <v>1.0033333333333301</v>
      </c>
      <c r="T96" s="5">
        <v>0.12766666666666701</v>
      </c>
      <c r="U96" s="1">
        <v>90</v>
      </c>
      <c r="V96" s="1">
        <v>54.901429999999998</v>
      </c>
      <c r="W96" s="1">
        <v>10.33348</v>
      </c>
      <c r="X96" s="1">
        <v>1</v>
      </c>
      <c r="Y96" s="1">
        <v>1</v>
      </c>
      <c r="Z96" s="4">
        <f t="shared" si="1"/>
        <v>0.30209999999999992</v>
      </c>
    </row>
    <row r="97" spans="1:26" x14ac:dyDescent="0.15">
      <c r="A97" s="1" t="s">
        <v>116</v>
      </c>
      <c r="B97" s="1" t="s">
        <v>109</v>
      </c>
      <c r="F97" s="1">
        <v>183.18576537925</v>
      </c>
      <c r="G97" s="5">
        <v>23.8466666666667</v>
      </c>
      <c r="H97" s="4">
        <v>2008.9424880153699</v>
      </c>
      <c r="I97" s="4">
        <v>342.28999868523198</v>
      </c>
      <c r="J97" s="1">
        <v>10</v>
      </c>
      <c r="K97" s="1">
        <v>12</v>
      </c>
      <c r="L97" s="7">
        <v>5</v>
      </c>
      <c r="M97" s="1">
        <v>5</v>
      </c>
      <c r="N97" s="1">
        <v>4</v>
      </c>
      <c r="O97" s="4">
        <v>9.9439863013698595</v>
      </c>
      <c r="P97" s="4">
        <v>0.99269005847953218</v>
      </c>
      <c r="Q97" s="8">
        <v>820</v>
      </c>
      <c r="R97" s="8">
        <v>60</v>
      </c>
      <c r="S97" s="5">
        <v>1.8985000000000001</v>
      </c>
      <c r="T97" s="5">
        <v>0.42049999999999998</v>
      </c>
      <c r="U97" s="1">
        <v>90</v>
      </c>
      <c r="V97" s="1">
        <v>54.902290000000001</v>
      </c>
      <c r="W97" s="1">
        <v>10.318659999999999</v>
      </c>
      <c r="X97" s="1">
        <v>1</v>
      </c>
      <c r="Y97" s="1">
        <v>0</v>
      </c>
      <c r="Z97" s="4">
        <f t="shared" si="1"/>
        <v>7.309941520467822E-3</v>
      </c>
    </row>
    <row r="98" spans="1:26" x14ac:dyDescent="0.15">
      <c r="A98" s="1" t="s">
        <v>117</v>
      </c>
      <c r="B98" s="1" t="s">
        <v>109</v>
      </c>
      <c r="E98" s="1">
        <v>0.23980000000000001</v>
      </c>
      <c r="F98" s="1">
        <v>41.925172130833303</v>
      </c>
      <c r="G98" s="5">
        <v>20.635999999999999</v>
      </c>
      <c r="H98" s="4">
        <v>299.71425597780802</v>
      </c>
      <c r="I98" s="4">
        <v>246.57987240464001</v>
      </c>
      <c r="J98" s="1">
        <v>45</v>
      </c>
      <c r="K98" s="1">
        <v>9</v>
      </c>
      <c r="L98" s="7">
        <v>8</v>
      </c>
      <c r="M98" s="1">
        <v>13</v>
      </c>
      <c r="N98" s="1">
        <v>2</v>
      </c>
      <c r="O98" s="4">
        <v>9.1954931506849302</v>
      </c>
      <c r="P98" s="4">
        <v>1.0708074534161491</v>
      </c>
      <c r="Q98" s="8">
        <v>1420</v>
      </c>
      <c r="R98" s="8">
        <v>140</v>
      </c>
      <c r="S98" s="5">
        <v>1.16933333333333</v>
      </c>
      <c r="T98" s="5">
        <v>0.112</v>
      </c>
      <c r="U98" s="1">
        <v>0</v>
      </c>
      <c r="V98" s="1">
        <v>56.27402</v>
      </c>
      <c r="W98" s="1">
        <v>8.4931699999999992</v>
      </c>
      <c r="X98" s="1">
        <v>0</v>
      </c>
      <c r="Y98" s="1">
        <v>1</v>
      </c>
      <c r="Z98" s="4">
        <f t="shared" si="1"/>
        <v>-7.0807453416149135E-2</v>
      </c>
    </row>
    <row r="99" spans="1:26" x14ac:dyDescent="0.15">
      <c r="A99" s="1" t="s">
        <v>118</v>
      </c>
      <c r="B99" s="1" t="s">
        <v>109</v>
      </c>
      <c r="F99" s="1">
        <v>330.30620537733301</v>
      </c>
      <c r="G99" s="5">
        <v>16.605</v>
      </c>
      <c r="H99" s="4">
        <v>689.30529730407295</v>
      </c>
      <c r="I99" s="4">
        <v>252.55919342081799</v>
      </c>
      <c r="J99" s="1">
        <v>60</v>
      </c>
      <c r="K99" s="1">
        <v>15</v>
      </c>
      <c r="L99" s="7">
        <v>10</v>
      </c>
      <c r="M99" s="1">
        <v>6</v>
      </c>
      <c r="N99" s="1">
        <v>4</v>
      </c>
      <c r="O99" s="4">
        <v>9.9439863013698595</v>
      </c>
      <c r="P99" s="4">
        <v>0.96449704142011838</v>
      </c>
      <c r="Q99" s="8">
        <v>830</v>
      </c>
      <c r="R99" s="8">
        <v>70</v>
      </c>
      <c r="S99" s="5">
        <v>1.909</v>
      </c>
      <c r="T99" s="5">
        <v>0.36733333333333301</v>
      </c>
      <c r="U99" s="1">
        <v>80</v>
      </c>
      <c r="V99" s="1">
        <v>55.02196</v>
      </c>
      <c r="W99" s="1">
        <v>10.259309999999999</v>
      </c>
      <c r="X99" s="1">
        <v>0</v>
      </c>
      <c r="Y99" s="1">
        <v>1</v>
      </c>
      <c r="Z99" s="4">
        <f t="shared" si="1"/>
        <v>3.5502958579881616E-2</v>
      </c>
    </row>
    <row r="100" spans="1:26" x14ac:dyDescent="0.15">
      <c r="A100" s="1" t="s">
        <v>119</v>
      </c>
      <c r="B100" s="1" t="s">
        <v>109</v>
      </c>
      <c r="E100" s="1">
        <v>0.24199999999999999</v>
      </c>
      <c r="F100" s="1">
        <v>43.292197645000002</v>
      </c>
      <c r="G100" s="5">
        <v>7.17</v>
      </c>
      <c r="H100" s="4">
        <v>160.95239738016599</v>
      </c>
      <c r="I100" s="4">
        <v>1024.5026173886599</v>
      </c>
      <c r="J100" s="1">
        <v>35</v>
      </c>
      <c r="K100" s="1">
        <v>15</v>
      </c>
      <c r="L100" s="7">
        <v>8</v>
      </c>
      <c r="M100" s="1">
        <v>16</v>
      </c>
      <c r="N100" s="1">
        <v>2</v>
      </c>
      <c r="O100" s="4">
        <v>9.1954931506849302</v>
      </c>
      <c r="P100" s="4">
        <v>1.0602706027060271</v>
      </c>
      <c r="Q100" s="8">
        <v>3660</v>
      </c>
      <c r="R100" s="8">
        <v>90</v>
      </c>
      <c r="S100" s="5">
        <v>0.23799999999999999</v>
      </c>
      <c r="T100" s="5">
        <v>0.163333333333333</v>
      </c>
      <c r="U100" s="1">
        <v>0</v>
      </c>
      <c r="V100" s="1">
        <v>56.283670000000001</v>
      </c>
      <c r="W100" s="1">
        <v>8.4651899999999998</v>
      </c>
      <c r="X100" s="1">
        <v>1</v>
      </c>
      <c r="Y100" s="1">
        <v>1</v>
      </c>
      <c r="Z100" s="4">
        <f t="shared" si="1"/>
        <v>-6.0270602706027132E-2</v>
      </c>
    </row>
    <row r="101" spans="1:26" x14ac:dyDescent="0.15">
      <c r="A101" s="1" t="s">
        <v>120</v>
      </c>
      <c r="B101" s="1" t="s">
        <v>109</v>
      </c>
      <c r="F101" s="1">
        <v>481.91166636650001</v>
      </c>
      <c r="G101" s="5">
        <v>21.92</v>
      </c>
      <c r="H101" s="4">
        <v>308.84161020676697</v>
      </c>
      <c r="I101" s="4">
        <v>277.56376706018602</v>
      </c>
      <c r="J101" s="1">
        <v>1</v>
      </c>
      <c r="K101" s="1">
        <v>22</v>
      </c>
      <c r="L101" s="7">
        <v>5</v>
      </c>
      <c r="M101" s="1">
        <v>9</v>
      </c>
      <c r="N101" s="1">
        <v>4</v>
      </c>
      <c r="O101" s="4">
        <v>9.9439863013698595</v>
      </c>
      <c r="P101" s="4">
        <v>0.96307237813884783</v>
      </c>
      <c r="Q101" s="8">
        <v>770</v>
      </c>
      <c r="R101" s="8">
        <v>70</v>
      </c>
      <c r="S101" s="5">
        <v>1.50966666666667</v>
      </c>
      <c r="T101" s="5">
        <v>0.835666666666667</v>
      </c>
      <c r="U101" s="1">
        <v>80</v>
      </c>
      <c r="V101" s="1">
        <v>55.021419999999999</v>
      </c>
      <c r="W101" s="1">
        <v>10.256119999999999</v>
      </c>
      <c r="X101" s="1">
        <v>0</v>
      </c>
      <c r="Y101" s="1">
        <v>1</v>
      </c>
      <c r="Z101" s="4">
        <f t="shared" si="1"/>
        <v>3.6927621861152171E-2</v>
      </c>
    </row>
    <row r="102" spans="1:26" x14ac:dyDescent="0.15">
      <c r="A102" s="1" t="s">
        <v>121</v>
      </c>
      <c r="B102" s="1" t="s">
        <v>109</v>
      </c>
      <c r="E102" s="1">
        <v>0.19639999999999999</v>
      </c>
      <c r="F102" s="1">
        <v>229.55621989883301</v>
      </c>
      <c r="G102" s="5">
        <v>62.878</v>
      </c>
      <c r="H102" s="4">
        <v>2033.9830261397799</v>
      </c>
      <c r="I102" s="4">
        <v>484.75796235304699</v>
      </c>
      <c r="J102" s="1">
        <v>10</v>
      </c>
      <c r="K102" s="1">
        <v>7</v>
      </c>
      <c r="L102" s="7">
        <v>4</v>
      </c>
      <c r="M102" s="1">
        <v>12</v>
      </c>
      <c r="N102" s="1">
        <v>3</v>
      </c>
      <c r="O102" s="4">
        <v>9.1954931506849302</v>
      </c>
      <c r="P102" s="4">
        <v>1.0575275397796817</v>
      </c>
      <c r="Q102" s="8">
        <v>1690</v>
      </c>
      <c r="R102" s="8">
        <v>150</v>
      </c>
      <c r="S102" s="5">
        <v>2.6356666666666699</v>
      </c>
      <c r="T102" s="5">
        <v>0.57799999999999996</v>
      </c>
      <c r="U102" s="1">
        <v>85</v>
      </c>
      <c r="V102" s="1">
        <v>56.211350000000003</v>
      </c>
      <c r="W102" s="1">
        <v>8.4754100000000001</v>
      </c>
      <c r="X102" s="1">
        <v>1</v>
      </c>
      <c r="Y102" s="1">
        <v>1</v>
      </c>
      <c r="Z102" s="4">
        <f t="shared" si="1"/>
        <v>-5.7527539779681724E-2</v>
      </c>
    </row>
    <row r="103" spans="1:26" x14ac:dyDescent="0.15">
      <c r="A103" s="1" t="s">
        <v>122</v>
      </c>
      <c r="B103" s="1" t="s">
        <v>109</v>
      </c>
      <c r="F103" s="1">
        <v>55.224279987000003</v>
      </c>
      <c r="G103" s="5">
        <v>45.601999999999997</v>
      </c>
      <c r="H103" s="4">
        <v>3267.2421461182798</v>
      </c>
      <c r="I103" s="4">
        <v>272.85399166097</v>
      </c>
      <c r="J103" s="1">
        <v>10</v>
      </c>
      <c r="K103" s="1">
        <v>12</v>
      </c>
      <c r="L103" s="7">
        <v>8</v>
      </c>
      <c r="M103" s="1">
        <v>6</v>
      </c>
      <c r="N103" s="1">
        <v>3</v>
      </c>
      <c r="O103" s="4">
        <v>9.1954931506849302</v>
      </c>
      <c r="P103" s="4">
        <v>1.0614250614250613</v>
      </c>
      <c r="Q103" s="8">
        <v>2170</v>
      </c>
      <c r="R103" s="8">
        <v>60</v>
      </c>
      <c r="S103" s="5">
        <v>0.99566666666666703</v>
      </c>
      <c r="T103" s="5">
        <v>0.27700000000000002</v>
      </c>
      <c r="U103" s="1">
        <v>30</v>
      </c>
      <c r="V103" s="1">
        <v>56.219259999999998</v>
      </c>
      <c r="W103" s="1">
        <v>8.4891299999999994</v>
      </c>
      <c r="X103" s="1">
        <v>1</v>
      </c>
      <c r="Y103" s="1">
        <v>1</v>
      </c>
      <c r="Z103" s="4">
        <f t="shared" si="1"/>
        <v>-6.1425061425061322E-2</v>
      </c>
    </row>
    <row r="104" spans="1:26" x14ac:dyDescent="0.15">
      <c r="A104" s="1" t="s">
        <v>123</v>
      </c>
      <c r="B104" s="1" t="s">
        <v>109</v>
      </c>
      <c r="E104" s="1">
        <v>3.6400000000000002E-2</v>
      </c>
      <c r="F104" s="1">
        <v>5.7428181281428596</v>
      </c>
      <c r="G104" s="5">
        <v>8.952</v>
      </c>
      <c r="H104" s="4">
        <v>198.835276190298</v>
      </c>
      <c r="I104" s="4">
        <v>225.530467135355</v>
      </c>
      <c r="J104" s="1">
        <v>35</v>
      </c>
      <c r="K104" s="1">
        <v>10</v>
      </c>
      <c r="L104" s="7">
        <v>11</v>
      </c>
      <c r="M104" s="1">
        <v>7</v>
      </c>
      <c r="N104" s="1">
        <v>1</v>
      </c>
      <c r="O104" s="4">
        <v>9.1954931506849302</v>
      </c>
      <c r="P104" s="4">
        <v>1.0575275397796817</v>
      </c>
      <c r="Q104" s="8">
        <v>2600</v>
      </c>
      <c r="R104" s="8">
        <v>110</v>
      </c>
      <c r="S104" s="5">
        <v>0.51200000000000001</v>
      </c>
      <c r="T104" s="5">
        <v>0.119333333333333</v>
      </c>
      <c r="U104" s="1">
        <v>75</v>
      </c>
      <c r="V104" s="1">
        <v>56.244340000000001</v>
      </c>
      <c r="W104" s="1">
        <v>8.4433699999999998</v>
      </c>
      <c r="X104" s="1">
        <v>1</v>
      </c>
      <c r="Y104" s="1">
        <v>1</v>
      </c>
      <c r="Z104" s="4">
        <f t="shared" si="1"/>
        <v>-5.7527539779681724E-2</v>
      </c>
    </row>
    <row r="105" spans="1:26" x14ac:dyDescent="0.15">
      <c r="A105" s="1" t="s">
        <v>124</v>
      </c>
      <c r="B105" s="1" t="s">
        <v>109</v>
      </c>
      <c r="F105" s="1">
        <v>105.7708460635</v>
      </c>
      <c r="G105" s="5">
        <v>40.027500000000003</v>
      </c>
      <c r="H105" s="4">
        <v>450.42844400278398</v>
      </c>
      <c r="I105" s="4">
        <v>55.301541969318599</v>
      </c>
      <c r="J105" s="1">
        <v>1</v>
      </c>
      <c r="K105" s="1">
        <v>14</v>
      </c>
      <c r="L105" s="7">
        <v>6</v>
      </c>
      <c r="M105" s="1">
        <v>4</v>
      </c>
      <c r="N105" s="1">
        <v>3</v>
      </c>
      <c r="O105" s="4">
        <v>9.9439863013698595</v>
      </c>
      <c r="P105" s="4">
        <v>0.96449704142011838</v>
      </c>
      <c r="Q105" s="8">
        <v>710</v>
      </c>
      <c r="R105" s="8">
        <v>70</v>
      </c>
      <c r="S105" s="5">
        <v>1.6783333333333299</v>
      </c>
      <c r="T105" s="5">
        <v>0.87566666666666704</v>
      </c>
      <c r="U105" s="1">
        <v>80</v>
      </c>
      <c r="V105" s="1">
        <v>55.022359999999999</v>
      </c>
      <c r="W105" s="1">
        <v>10.264340000000001</v>
      </c>
      <c r="X105" s="1">
        <v>1</v>
      </c>
      <c r="Y105" s="1">
        <v>1</v>
      </c>
      <c r="Z105" s="4">
        <f t="shared" si="1"/>
        <v>3.5502958579881616E-2</v>
      </c>
    </row>
    <row r="106" spans="1:26" x14ac:dyDescent="0.15">
      <c r="A106" s="1" t="s">
        <v>125</v>
      </c>
      <c r="B106" s="1" t="s">
        <v>109</v>
      </c>
      <c r="F106" s="1">
        <v>16.198246463866699</v>
      </c>
      <c r="G106" s="5">
        <v>19.4725</v>
      </c>
      <c r="H106" s="4">
        <v>2759.1253852329501</v>
      </c>
      <c r="I106" s="4">
        <v>951.83176746890604</v>
      </c>
      <c r="J106" s="1">
        <v>35</v>
      </c>
      <c r="K106" s="1">
        <v>12</v>
      </c>
      <c r="L106" s="7">
        <v>12</v>
      </c>
      <c r="M106" s="1">
        <v>10</v>
      </c>
      <c r="N106" s="1">
        <v>4</v>
      </c>
      <c r="O106" s="4">
        <v>9.1954931506849302</v>
      </c>
      <c r="P106" s="4">
        <v>1.047677261613692</v>
      </c>
      <c r="Q106" s="8">
        <v>3770</v>
      </c>
      <c r="R106" s="8">
        <v>90</v>
      </c>
      <c r="S106" s="5">
        <v>0.79666666666666697</v>
      </c>
      <c r="T106" s="5">
        <v>0.18566666666666701</v>
      </c>
      <c r="U106" s="1">
        <v>0</v>
      </c>
      <c r="V106" s="1">
        <v>56.249450000000003</v>
      </c>
      <c r="W106" s="1">
        <v>8.4082100000000004</v>
      </c>
      <c r="X106" s="1">
        <v>0</v>
      </c>
      <c r="Y106" s="1">
        <v>1</v>
      </c>
      <c r="Z106" s="4">
        <f t="shared" si="1"/>
        <v>-4.7677261613692012E-2</v>
      </c>
    </row>
    <row r="107" spans="1:26" x14ac:dyDescent="0.15">
      <c r="A107" s="1" t="s">
        <v>126</v>
      </c>
      <c r="B107" s="1" t="s">
        <v>109</v>
      </c>
      <c r="F107" s="1">
        <v>222.094289153125</v>
      </c>
      <c r="G107" s="5">
        <v>66.346666666666707</v>
      </c>
      <c r="H107" s="4">
        <v>223.87834372079999</v>
      </c>
      <c r="I107" s="4">
        <v>794.37534066472494</v>
      </c>
      <c r="J107" s="1">
        <v>10</v>
      </c>
      <c r="K107" s="1">
        <v>22</v>
      </c>
      <c r="L107" s="7">
        <v>5</v>
      </c>
      <c r="M107" s="1">
        <v>13</v>
      </c>
      <c r="N107" s="1">
        <v>2</v>
      </c>
      <c r="O107" s="4">
        <v>8.83832876712329</v>
      </c>
      <c r="P107" s="4">
        <v>0.9817415730337079</v>
      </c>
      <c r="Q107" s="8">
        <v>2700</v>
      </c>
      <c r="R107" s="8">
        <v>190</v>
      </c>
      <c r="S107" s="5">
        <v>1.8013333333333299</v>
      </c>
      <c r="T107" s="5">
        <v>0.57033333333333303</v>
      </c>
      <c r="U107" s="1">
        <v>85</v>
      </c>
      <c r="V107" s="1">
        <v>56.142319999999998</v>
      </c>
      <c r="W107" s="1">
        <v>9.7152399999999997</v>
      </c>
      <c r="X107" s="1">
        <v>1</v>
      </c>
      <c r="Y107" s="1">
        <v>1</v>
      </c>
      <c r="Z107" s="4">
        <f t="shared" si="1"/>
        <v>1.8258426966292096E-2</v>
      </c>
    </row>
    <row r="108" spans="1:26" x14ac:dyDescent="0.15">
      <c r="A108" s="1" t="s">
        <v>127</v>
      </c>
      <c r="B108" s="1" t="s">
        <v>109</v>
      </c>
      <c r="F108" s="1">
        <v>203.1254751255</v>
      </c>
      <c r="G108" s="5">
        <v>21.362500000000001</v>
      </c>
      <c r="H108" s="4">
        <v>941.009682443771</v>
      </c>
      <c r="I108" s="4">
        <v>567.61851177214805</v>
      </c>
      <c r="J108" s="1">
        <v>10</v>
      </c>
      <c r="K108" s="1">
        <v>10</v>
      </c>
      <c r="L108" s="7">
        <v>7</v>
      </c>
      <c r="M108" s="1">
        <v>9</v>
      </c>
      <c r="N108" s="1">
        <v>3</v>
      </c>
      <c r="O108" s="4">
        <v>9.9439863013698595</v>
      </c>
      <c r="P108" s="4">
        <v>0.9546120058565154</v>
      </c>
      <c r="Q108" s="8">
        <v>500</v>
      </c>
      <c r="R108" s="8">
        <v>60</v>
      </c>
      <c r="S108" s="5">
        <v>2.2233333333333301</v>
      </c>
      <c r="T108" s="5">
        <v>0.32333333333333297</v>
      </c>
      <c r="U108" s="1">
        <v>100</v>
      </c>
      <c r="V108" s="1">
        <v>55.03152</v>
      </c>
      <c r="W108" s="1">
        <v>10.245559999999999</v>
      </c>
      <c r="X108" s="1">
        <v>0</v>
      </c>
      <c r="Y108" s="1">
        <v>1</v>
      </c>
      <c r="Z108" s="4">
        <f t="shared" si="1"/>
        <v>4.53879941434846E-2</v>
      </c>
    </row>
    <row r="109" spans="1:26" x14ac:dyDescent="0.15">
      <c r="A109" s="1" t="s">
        <v>128</v>
      </c>
      <c r="B109" s="1" t="s">
        <v>109</v>
      </c>
      <c r="F109" s="1">
        <v>328.30703383579998</v>
      </c>
      <c r="G109" s="5">
        <v>23.76</v>
      </c>
      <c r="H109" s="4">
        <v>974.98962990882796</v>
      </c>
      <c r="I109" s="4">
        <v>1537.9346894297</v>
      </c>
      <c r="J109" s="1">
        <v>1</v>
      </c>
      <c r="K109" s="1">
        <v>13</v>
      </c>
      <c r="L109" s="7">
        <v>6</v>
      </c>
      <c r="M109" s="1">
        <v>9</v>
      </c>
      <c r="N109" s="1">
        <v>4</v>
      </c>
      <c r="O109" s="4">
        <v>9.9439863013698595</v>
      </c>
      <c r="P109" s="4">
        <v>0.9546120058565154</v>
      </c>
      <c r="Q109" s="8">
        <v>850</v>
      </c>
      <c r="R109" s="8">
        <v>50</v>
      </c>
      <c r="S109" s="5">
        <v>1.8463333333333301</v>
      </c>
      <c r="T109" s="5">
        <v>0.35766666666666702</v>
      </c>
      <c r="U109" s="1">
        <v>85</v>
      </c>
      <c r="V109" s="1">
        <v>55.031950000000002</v>
      </c>
      <c r="W109" s="1">
        <v>10.246919999999999</v>
      </c>
      <c r="X109" s="1">
        <v>0</v>
      </c>
      <c r="Y109" s="1">
        <v>1</v>
      </c>
      <c r="Z109" s="4">
        <f t="shared" si="1"/>
        <v>4.53879941434846E-2</v>
      </c>
    </row>
    <row r="110" spans="1:26" x14ac:dyDescent="0.15">
      <c r="A110" s="1" t="s">
        <v>129</v>
      </c>
      <c r="B110" s="1" t="s">
        <v>109</v>
      </c>
      <c r="E110" s="1">
        <v>9.6600000000000005E-2</v>
      </c>
      <c r="F110" s="1">
        <v>115.785783058833</v>
      </c>
      <c r="G110" s="5">
        <v>17.066666666666698</v>
      </c>
      <c r="H110" s="4">
        <v>1452.6489995367499</v>
      </c>
      <c r="I110" s="4">
        <v>1219.8041719145201</v>
      </c>
      <c r="J110" s="1">
        <v>35</v>
      </c>
      <c r="K110" s="1">
        <v>14</v>
      </c>
      <c r="L110" s="7">
        <v>5</v>
      </c>
      <c r="M110" s="1">
        <v>14</v>
      </c>
      <c r="N110" s="1">
        <v>3</v>
      </c>
      <c r="O110" s="4">
        <v>8.83832876712329</v>
      </c>
      <c r="P110" s="4">
        <v>0.97625698324022347</v>
      </c>
      <c r="Q110" s="8">
        <v>1380</v>
      </c>
      <c r="R110" s="8">
        <v>140</v>
      </c>
      <c r="S110" s="5">
        <v>0.84833333333333305</v>
      </c>
      <c r="T110" s="5">
        <v>0.19966666666666699</v>
      </c>
      <c r="U110" s="1">
        <v>95</v>
      </c>
      <c r="V110" s="1">
        <v>56.138719999999999</v>
      </c>
      <c r="W110" s="1">
        <v>9.7167100000000008</v>
      </c>
      <c r="X110" s="1">
        <v>1</v>
      </c>
      <c r="Y110" s="1">
        <v>1</v>
      </c>
      <c r="Z110" s="4">
        <f t="shared" si="1"/>
        <v>2.3743016759776525E-2</v>
      </c>
    </row>
    <row r="111" spans="1:26" x14ac:dyDescent="0.15">
      <c r="A111" s="1" t="s">
        <v>130</v>
      </c>
      <c r="B111" s="1" t="s">
        <v>109</v>
      </c>
      <c r="E111" s="1">
        <v>0.34339999999999998</v>
      </c>
      <c r="F111" s="1">
        <v>72.063111354599997</v>
      </c>
      <c r="G111" s="5">
        <v>15.37</v>
      </c>
      <c r="H111" s="4">
        <v>1469.7728700923101</v>
      </c>
      <c r="I111" s="4">
        <v>1199.36131530494</v>
      </c>
      <c r="J111" s="1">
        <v>10</v>
      </c>
      <c r="K111" s="1">
        <v>19</v>
      </c>
      <c r="L111" s="7">
        <v>6</v>
      </c>
      <c r="M111" s="1">
        <v>9</v>
      </c>
      <c r="N111" s="1">
        <v>1</v>
      </c>
      <c r="O111" s="4">
        <v>8.83832876712329</v>
      </c>
      <c r="P111" s="4">
        <v>0.98603351955307261</v>
      </c>
      <c r="Q111" s="8">
        <v>1240</v>
      </c>
      <c r="R111" s="8">
        <v>190</v>
      </c>
      <c r="S111" s="5">
        <v>1.2270000000000001</v>
      </c>
      <c r="T111" s="5">
        <v>0.27733333333333299</v>
      </c>
      <c r="U111" s="1">
        <v>75</v>
      </c>
      <c r="V111" s="1">
        <v>56.129809999999999</v>
      </c>
      <c r="W111" s="1">
        <v>9.7020199999999992</v>
      </c>
      <c r="X111" s="1">
        <v>0</v>
      </c>
      <c r="Y111" s="1">
        <v>1</v>
      </c>
      <c r="Z111" s="4">
        <f t="shared" si="1"/>
        <v>1.3966480446927387E-2</v>
      </c>
    </row>
    <row r="112" spans="1:26" x14ac:dyDescent="0.15">
      <c r="A112" s="1" t="s">
        <v>131</v>
      </c>
      <c r="B112" s="1" t="s">
        <v>109</v>
      </c>
      <c r="E112" s="1">
        <v>0.17119999999999999</v>
      </c>
      <c r="F112" s="1">
        <v>28.679786918886698</v>
      </c>
      <c r="G112" s="5">
        <v>33.963999999999999</v>
      </c>
      <c r="H112" s="4">
        <v>178.072928704367</v>
      </c>
      <c r="I112" s="4">
        <v>101.940780519801</v>
      </c>
      <c r="J112" s="1">
        <v>35</v>
      </c>
      <c r="K112" s="1">
        <v>16</v>
      </c>
      <c r="L112" s="7">
        <v>6</v>
      </c>
      <c r="M112" s="1">
        <v>7</v>
      </c>
      <c r="N112" s="1">
        <v>4</v>
      </c>
      <c r="O112" s="4">
        <v>8.8632876712328805</v>
      </c>
      <c r="P112" s="4">
        <v>1.0114285714285713</v>
      </c>
      <c r="Q112" s="8">
        <v>480</v>
      </c>
      <c r="R112" s="8">
        <v>100</v>
      </c>
      <c r="S112" s="5">
        <v>0.87166666666666703</v>
      </c>
      <c r="T112" s="5">
        <v>0.14733333333333301</v>
      </c>
      <c r="U112" s="1">
        <v>40</v>
      </c>
      <c r="V112" s="1">
        <v>56.042859999999997</v>
      </c>
      <c r="W112" s="1">
        <v>9.6509499999999999</v>
      </c>
      <c r="X112" s="1">
        <v>1</v>
      </c>
      <c r="Y112" s="1">
        <v>1</v>
      </c>
      <c r="Z112" s="4">
        <f t="shared" si="1"/>
        <v>-1.1428571428571344E-2</v>
      </c>
    </row>
    <row r="113" spans="1:26" x14ac:dyDescent="0.15">
      <c r="A113" s="1" t="s">
        <v>132</v>
      </c>
      <c r="B113" s="1" t="s">
        <v>109</v>
      </c>
      <c r="E113" s="1">
        <v>0.3508</v>
      </c>
      <c r="F113" s="1">
        <v>323.50715966383302</v>
      </c>
      <c r="G113" s="5">
        <v>17.016666666666701</v>
      </c>
      <c r="H113" s="4">
        <v>269.09565056714098</v>
      </c>
      <c r="I113" s="4">
        <v>3943.0460434757001</v>
      </c>
      <c r="J113" s="1">
        <v>25</v>
      </c>
      <c r="K113" s="1">
        <v>22</v>
      </c>
      <c r="L113" s="7">
        <v>7</v>
      </c>
      <c r="M113" s="1">
        <v>12</v>
      </c>
      <c r="N113" s="1">
        <v>2</v>
      </c>
      <c r="O113" s="4">
        <v>10.1874383561644</v>
      </c>
      <c r="P113" s="4">
        <v>1.0151285930408471</v>
      </c>
      <c r="Q113" s="8">
        <v>190</v>
      </c>
      <c r="R113" s="8">
        <v>50</v>
      </c>
      <c r="S113" s="5">
        <v>0.92800000000000005</v>
      </c>
      <c r="T113" s="5">
        <v>0.50249999999999995</v>
      </c>
      <c r="U113" s="1">
        <v>80</v>
      </c>
      <c r="V113" s="1">
        <v>54.874319999999997</v>
      </c>
      <c r="W113" s="1">
        <v>10.328749999999999</v>
      </c>
      <c r="X113" s="1">
        <v>1</v>
      </c>
      <c r="Y113" s="1">
        <v>0</v>
      </c>
      <c r="Z113" s="4">
        <f t="shared" si="1"/>
        <v>-1.5128593040847127E-2</v>
      </c>
    </row>
    <row r="114" spans="1:26" x14ac:dyDescent="0.15">
      <c r="A114" s="1" t="s">
        <v>133</v>
      </c>
      <c r="B114" s="1" t="s">
        <v>109</v>
      </c>
      <c r="E114" s="1">
        <v>5.0500000000000003E-2</v>
      </c>
      <c r="F114" s="1">
        <v>40.388631646030802</v>
      </c>
      <c r="G114" s="5">
        <v>24.062000000000001</v>
      </c>
      <c r="H114" s="4">
        <v>49.315660885719304</v>
      </c>
      <c r="I114" s="4">
        <v>480.44409336154501</v>
      </c>
      <c r="J114" s="1">
        <v>10</v>
      </c>
      <c r="K114" s="1">
        <v>14</v>
      </c>
      <c r="L114" s="7">
        <v>7</v>
      </c>
      <c r="M114" s="1">
        <v>8</v>
      </c>
      <c r="N114" s="1">
        <v>3</v>
      </c>
      <c r="O114" s="4">
        <v>8.8632876712328805</v>
      </c>
      <c r="P114" s="4">
        <v>1.0143266475644699</v>
      </c>
      <c r="Q114" s="8">
        <v>750</v>
      </c>
      <c r="R114" s="8">
        <v>120</v>
      </c>
      <c r="S114" s="5">
        <v>0.85099999999999998</v>
      </c>
      <c r="T114" s="5">
        <v>0.21233333333333301</v>
      </c>
      <c r="U114" s="1">
        <v>0</v>
      </c>
      <c r="V114" s="1">
        <v>56.047409999999999</v>
      </c>
      <c r="W114" s="1">
        <v>9.6464800000000004</v>
      </c>
      <c r="X114" s="1">
        <v>1</v>
      </c>
      <c r="Y114" s="1">
        <v>1</v>
      </c>
      <c r="Z114" s="4">
        <f t="shared" si="1"/>
        <v>-1.4326647564469885E-2</v>
      </c>
    </row>
    <row r="115" spans="1:26" x14ac:dyDescent="0.15">
      <c r="A115" s="1" t="s">
        <v>134</v>
      </c>
      <c r="B115" s="1" t="s">
        <v>109</v>
      </c>
      <c r="E115" s="1">
        <v>5.6000000000000001E-2</v>
      </c>
      <c r="F115" s="1">
        <v>54.4744822353967</v>
      </c>
      <c r="G115" s="5">
        <v>18.0825</v>
      </c>
      <c r="H115" s="4">
        <v>182.94324859415801</v>
      </c>
      <c r="I115" s="4">
        <v>1389.0319786029099</v>
      </c>
      <c r="J115" s="1">
        <v>35</v>
      </c>
      <c r="K115" s="1">
        <v>19</v>
      </c>
      <c r="L115" s="7">
        <v>7</v>
      </c>
      <c r="M115" s="1">
        <v>10</v>
      </c>
      <c r="N115" s="1">
        <v>6</v>
      </c>
      <c r="O115" s="4">
        <v>8.8632876712328805</v>
      </c>
      <c r="P115" s="4">
        <v>1.0143266475644699</v>
      </c>
      <c r="Q115" s="8">
        <v>520</v>
      </c>
      <c r="R115" s="8">
        <v>110</v>
      </c>
      <c r="S115" s="5">
        <v>1.0629999999999999</v>
      </c>
      <c r="T115" s="5">
        <v>0.23066666666666699</v>
      </c>
      <c r="U115" s="1">
        <v>30</v>
      </c>
      <c r="V115" s="1">
        <v>56.049190000000003</v>
      </c>
      <c r="W115" s="1">
        <v>9.6487599999999993</v>
      </c>
      <c r="X115" s="1">
        <v>1</v>
      </c>
      <c r="Y115" s="1">
        <v>1</v>
      </c>
      <c r="Z115" s="4">
        <f t="shared" si="1"/>
        <v>-1.4326647564469885E-2</v>
      </c>
    </row>
    <row r="116" spans="1:26" x14ac:dyDescent="0.15">
      <c r="A116" s="1" t="s">
        <v>135</v>
      </c>
      <c r="B116" s="1" t="s">
        <v>109</v>
      </c>
      <c r="E116" s="1">
        <v>0.13600000000000001</v>
      </c>
      <c r="F116" s="1">
        <v>32.8777292660386</v>
      </c>
      <c r="G116" s="5">
        <v>38.481999999999999</v>
      </c>
      <c r="H116" s="4">
        <v>22.247634595806499</v>
      </c>
      <c r="I116" s="4">
        <v>1341.0251996831801</v>
      </c>
      <c r="J116" s="1">
        <v>10</v>
      </c>
      <c r="K116" s="1">
        <v>11</v>
      </c>
      <c r="L116" s="7">
        <v>4</v>
      </c>
      <c r="M116" s="1">
        <v>9</v>
      </c>
      <c r="N116" s="1">
        <v>3</v>
      </c>
      <c r="O116" s="4">
        <v>8.8632876712328805</v>
      </c>
      <c r="P116" s="4">
        <v>1.0114285714285713</v>
      </c>
      <c r="Q116" s="8">
        <v>3200</v>
      </c>
      <c r="R116" s="8">
        <v>170</v>
      </c>
      <c r="S116" s="5">
        <v>0.86133333333333295</v>
      </c>
      <c r="T116" s="5">
        <v>0.14099999999999999</v>
      </c>
      <c r="U116" s="1">
        <v>65</v>
      </c>
      <c r="V116" s="1">
        <v>56.043520000000001</v>
      </c>
      <c r="W116" s="1">
        <v>9.6564499999999995</v>
      </c>
      <c r="X116" s="1">
        <v>0</v>
      </c>
      <c r="Y116" s="1">
        <v>1</v>
      </c>
      <c r="Z116" s="4">
        <f t="shared" si="1"/>
        <v>-1.1428571428571344E-2</v>
      </c>
    </row>
    <row r="117" spans="1:26" x14ac:dyDescent="0.15">
      <c r="A117" s="1" t="s">
        <v>136</v>
      </c>
      <c r="B117" s="1" t="s">
        <v>109</v>
      </c>
      <c r="E117" s="1">
        <v>0.16700000000000001</v>
      </c>
      <c r="F117" s="1">
        <v>120.077457328333</v>
      </c>
      <c r="G117" s="5">
        <v>26.263999999999999</v>
      </c>
      <c r="H117" s="4">
        <v>396.57137625220798</v>
      </c>
      <c r="I117" s="4">
        <v>1435.7958363385601</v>
      </c>
      <c r="J117" s="1">
        <v>35</v>
      </c>
      <c r="K117" s="1">
        <v>10</v>
      </c>
      <c r="L117" s="7">
        <v>6</v>
      </c>
      <c r="M117" s="1">
        <v>10</v>
      </c>
      <c r="N117" s="1">
        <v>2</v>
      </c>
      <c r="O117" s="4">
        <v>8.7382465753424707</v>
      </c>
      <c r="P117" s="4">
        <v>1.0521861777150916</v>
      </c>
      <c r="Q117" s="8">
        <v>240</v>
      </c>
      <c r="R117" s="8">
        <v>140</v>
      </c>
      <c r="S117" s="5">
        <v>0.71333333333333304</v>
      </c>
      <c r="T117" s="5">
        <v>0.23300000000000001</v>
      </c>
      <c r="U117" s="1">
        <v>95</v>
      </c>
      <c r="V117" s="1">
        <v>56.022860000000001</v>
      </c>
      <c r="W117" s="1">
        <v>9.6146899999999995</v>
      </c>
      <c r="X117" s="1">
        <v>1</v>
      </c>
      <c r="Y117" s="1">
        <v>1</v>
      </c>
      <c r="Z117" s="4">
        <f t="shared" si="1"/>
        <v>-5.2186177715091597E-2</v>
      </c>
    </row>
    <row r="118" spans="1:26" x14ac:dyDescent="0.15">
      <c r="A118" s="1" t="s">
        <v>137</v>
      </c>
      <c r="B118" s="1" t="s">
        <v>109</v>
      </c>
      <c r="F118" s="1">
        <v>18.616648184731801</v>
      </c>
      <c r="G118" s="5">
        <v>66.581999999999994</v>
      </c>
      <c r="H118" s="4">
        <v>2.82287047044011</v>
      </c>
      <c r="I118" s="4">
        <v>452.16656546381199</v>
      </c>
      <c r="J118" s="1">
        <v>50</v>
      </c>
      <c r="K118" s="1">
        <v>10</v>
      </c>
      <c r="L118" s="7">
        <v>4</v>
      </c>
      <c r="M118" s="1">
        <v>7</v>
      </c>
      <c r="N118" s="7">
        <v>2</v>
      </c>
      <c r="O118" s="4">
        <v>8.7382465753424707</v>
      </c>
      <c r="P118" s="4">
        <v>1.047752808988764</v>
      </c>
      <c r="Q118" s="8">
        <v>490</v>
      </c>
      <c r="R118" s="8">
        <v>130</v>
      </c>
      <c r="S118" s="5">
        <v>0.85533333333333295</v>
      </c>
      <c r="T118" s="5">
        <v>0.24633333333333299</v>
      </c>
      <c r="U118" s="1">
        <v>60</v>
      </c>
      <c r="V118" s="1">
        <v>56.021030000000003</v>
      </c>
      <c r="W118" s="1">
        <v>9.6035900000000005</v>
      </c>
      <c r="X118" s="1">
        <v>1</v>
      </c>
      <c r="Y118" s="1">
        <v>1</v>
      </c>
      <c r="Z118" s="4">
        <f t="shared" si="1"/>
        <v>-4.7752808988763995E-2</v>
      </c>
    </row>
    <row r="119" spans="1:26" x14ac:dyDescent="0.15">
      <c r="A119" s="1" t="s">
        <v>138</v>
      </c>
      <c r="B119" s="1" t="s">
        <v>109</v>
      </c>
      <c r="E119" s="1">
        <v>1.1714</v>
      </c>
      <c r="F119" s="1">
        <v>138.71160521224999</v>
      </c>
      <c r="G119" s="5">
        <v>9.3979999999999997</v>
      </c>
      <c r="H119" s="4">
        <v>554.03481975113402</v>
      </c>
      <c r="I119" s="4">
        <v>133.520555179214</v>
      </c>
      <c r="J119" s="1">
        <v>1</v>
      </c>
      <c r="K119" s="1">
        <v>16</v>
      </c>
      <c r="L119" s="7">
        <v>8</v>
      </c>
      <c r="M119" s="1">
        <v>8</v>
      </c>
      <c r="N119" s="1">
        <v>3</v>
      </c>
      <c r="O119" s="4">
        <v>10.1874383561644</v>
      </c>
      <c r="P119" s="4">
        <v>1.0104790419161678</v>
      </c>
      <c r="Q119" s="8">
        <v>590</v>
      </c>
      <c r="R119" s="8">
        <v>80</v>
      </c>
      <c r="S119" s="5">
        <v>1.03666666666667</v>
      </c>
      <c r="T119" s="5">
        <v>0.542333333333333</v>
      </c>
      <c r="U119" s="1">
        <v>90</v>
      </c>
      <c r="V119" s="1">
        <v>54.870570000000001</v>
      </c>
      <c r="W119" s="1">
        <v>10.336449999999999</v>
      </c>
      <c r="X119" s="1">
        <v>0</v>
      </c>
      <c r="Y119" s="1">
        <v>1</v>
      </c>
      <c r="Z119" s="4">
        <f t="shared" si="1"/>
        <v>-1.0479041916167775E-2</v>
      </c>
    </row>
    <row r="120" spans="1:26" x14ac:dyDescent="0.15">
      <c r="A120" s="1" t="s">
        <v>139</v>
      </c>
      <c r="B120" s="1" t="s">
        <v>109</v>
      </c>
      <c r="E120" s="1">
        <v>0.86160000000000003</v>
      </c>
      <c r="F120" s="1">
        <v>401.20697245349999</v>
      </c>
      <c r="G120" s="5">
        <v>222.1275</v>
      </c>
      <c r="H120" s="4">
        <v>698.029992084534</v>
      </c>
      <c r="I120" s="4">
        <v>669.441545383277</v>
      </c>
      <c r="J120" s="1">
        <v>1</v>
      </c>
      <c r="K120" s="1">
        <v>12</v>
      </c>
      <c r="L120" s="7">
        <v>7</v>
      </c>
      <c r="M120" s="1">
        <v>5</v>
      </c>
      <c r="N120" s="1">
        <v>3</v>
      </c>
      <c r="O120" s="4">
        <v>9.9657671232876694</v>
      </c>
      <c r="P120" s="4">
        <v>1.0150375939849625</v>
      </c>
      <c r="Q120" s="8">
        <v>645</v>
      </c>
      <c r="R120" s="8">
        <v>60</v>
      </c>
      <c r="S120" s="5">
        <v>3.9503333333333299</v>
      </c>
      <c r="T120" s="5">
        <v>0.913333333333333</v>
      </c>
      <c r="U120" s="1">
        <v>80</v>
      </c>
      <c r="V120" s="1">
        <v>54.865519999999997</v>
      </c>
      <c r="W120" s="1">
        <v>10.34834</v>
      </c>
      <c r="X120" s="1">
        <v>1</v>
      </c>
      <c r="Y120" s="1">
        <v>1</v>
      </c>
      <c r="Z120" s="4">
        <f t="shared" si="1"/>
        <v>-1.5037593984962516E-2</v>
      </c>
    </row>
    <row r="121" spans="1:26" x14ac:dyDescent="0.15">
      <c r="A121" s="1" t="s">
        <v>140</v>
      </c>
      <c r="B121" s="1" t="s">
        <v>141</v>
      </c>
      <c r="C121" s="1">
        <v>0.38347930000000002</v>
      </c>
      <c r="D121" s="1">
        <v>1.9186E-4</v>
      </c>
      <c r="E121" s="1">
        <v>24.09696667</v>
      </c>
      <c r="F121" s="1">
        <v>71.323607949285702</v>
      </c>
      <c r="G121" s="5">
        <v>26.38</v>
      </c>
      <c r="H121" s="4">
        <v>542.93403261752098</v>
      </c>
      <c r="I121" s="4">
        <v>212.91104586417401</v>
      </c>
      <c r="J121" s="1">
        <v>80</v>
      </c>
      <c r="K121" s="1">
        <v>28</v>
      </c>
      <c r="L121" s="7">
        <v>7</v>
      </c>
      <c r="M121" s="1">
        <v>6</v>
      </c>
      <c r="N121" s="1">
        <v>4</v>
      </c>
      <c r="O121" s="4">
        <v>16.453917808219199</v>
      </c>
      <c r="P121" s="4">
        <v>0.44121915820029028</v>
      </c>
      <c r="Q121" s="8">
        <v>24675.91</v>
      </c>
      <c r="R121" s="8">
        <v>20.8</v>
      </c>
      <c r="S121" s="5">
        <v>7.97</v>
      </c>
      <c r="T121" s="5">
        <v>0.83799999999999997</v>
      </c>
      <c r="U121" s="1">
        <v>0</v>
      </c>
      <c r="V121" s="1">
        <v>42.397714000000001</v>
      </c>
      <c r="W121" s="1">
        <v>2.9071380000000002</v>
      </c>
      <c r="X121" s="1">
        <v>0</v>
      </c>
      <c r="Y121" s="1">
        <v>0</v>
      </c>
      <c r="Z121" s="4">
        <f t="shared" si="1"/>
        <v>0.55878084179970977</v>
      </c>
    </row>
    <row r="122" spans="1:26" x14ac:dyDescent="0.15">
      <c r="A122" s="1" t="s">
        <v>142</v>
      </c>
      <c r="B122" s="1" t="s">
        <v>141</v>
      </c>
      <c r="C122" s="1">
        <v>0.53235270199999996</v>
      </c>
      <c r="D122" s="1">
        <v>2.53639E-4</v>
      </c>
      <c r="E122" s="1">
        <v>22.4849</v>
      </c>
      <c r="F122" s="1">
        <v>73.466683816666702</v>
      </c>
      <c r="G122" s="5">
        <v>14.925000000000001</v>
      </c>
      <c r="H122" s="4">
        <v>3177.5704976751899</v>
      </c>
      <c r="I122" s="4">
        <v>603.40419525155005</v>
      </c>
      <c r="J122" s="1">
        <v>80</v>
      </c>
      <c r="K122" s="1">
        <v>21</v>
      </c>
      <c r="L122" s="7">
        <v>11</v>
      </c>
      <c r="M122" s="1">
        <v>8</v>
      </c>
      <c r="N122" s="1">
        <v>4</v>
      </c>
      <c r="O122" s="4">
        <v>16.453917808219199</v>
      </c>
      <c r="P122" s="4">
        <v>0.43490909090909091</v>
      </c>
      <c r="Q122" s="8">
        <v>2555.36</v>
      </c>
      <c r="R122" s="8">
        <v>36.4</v>
      </c>
      <c r="S122" s="5">
        <v>2.68</v>
      </c>
      <c r="T122" s="5">
        <v>7.4999999999999997E-2</v>
      </c>
      <c r="U122" s="1">
        <v>0</v>
      </c>
      <c r="V122" s="1">
        <v>42.396951999999999</v>
      </c>
      <c r="W122" s="1">
        <v>2.979768</v>
      </c>
      <c r="X122" s="1">
        <v>0</v>
      </c>
      <c r="Y122" s="1">
        <v>0</v>
      </c>
      <c r="Z122" s="4">
        <f t="shared" si="1"/>
        <v>0.56509090909090909</v>
      </c>
    </row>
    <row r="123" spans="1:26" x14ac:dyDescent="0.15">
      <c r="A123" s="1" t="s">
        <v>143</v>
      </c>
      <c r="B123" s="1" t="s">
        <v>141</v>
      </c>
      <c r="C123" s="1">
        <v>0.44501611600000002</v>
      </c>
      <c r="D123" s="1">
        <v>2.13339E-4</v>
      </c>
      <c r="F123" s="1">
        <v>11.168585058928601</v>
      </c>
      <c r="G123" s="5">
        <v>17.766999999999999</v>
      </c>
      <c r="H123" s="4">
        <v>171.86534834168799</v>
      </c>
      <c r="I123" s="4">
        <v>1223.56419689774</v>
      </c>
      <c r="J123" s="1">
        <v>80</v>
      </c>
      <c r="K123" s="1">
        <v>20</v>
      </c>
      <c r="L123" s="7">
        <v>11</v>
      </c>
      <c r="M123" s="1">
        <v>9</v>
      </c>
      <c r="N123" s="1">
        <v>6</v>
      </c>
      <c r="O123" s="4">
        <v>16.419794520547899</v>
      </c>
      <c r="P123" s="4">
        <v>0.42166064981949458</v>
      </c>
      <c r="Q123" s="8">
        <v>11646.89</v>
      </c>
      <c r="R123" s="8">
        <v>24.2</v>
      </c>
      <c r="S123" s="5">
        <v>2.3660000000000001</v>
      </c>
      <c r="T123" s="5">
        <v>7.5999999999999998E-2</v>
      </c>
      <c r="U123" s="1">
        <v>0</v>
      </c>
      <c r="V123" s="1">
        <v>42.373035999999999</v>
      </c>
      <c r="W123" s="1">
        <v>2.950593</v>
      </c>
      <c r="X123" s="1">
        <v>0</v>
      </c>
      <c r="Y123" s="1">
        <v>0</v>
      </c>
      <c r="Z123" s="4">
        <f t="shared" si="1"/>
        <v>0.57833935018050542</v>
      </c>
    </row>
    <row r="124" spans="1:26" x14ac:dyDescent="0.15">
      <c r="A124" s="1" t="s">
        <v>144</v>
      </c>
      <c r="B124" s="1" t="s">
        <v>141</v>
      </c>
      <c r="C124" s="1">
        <v>0.511811766</v>
      </c>
      <c r="D124" s="1">
        <v>2.4284999999999999E-4</v>
      </c>
      <c r="E124" s="1">
        <v>7.2314499999999997</v>
      </c>
      <c r="F124" s="1">
        <v>107.609572525</v>
      </c>
      <c r="G124" s="5">
        <v>21.8</v>
      </c>
      <c r="H124" s="4">
        <v>2799.11680027579</v>
      </c>
      <c r="I124" s="4">
        <v>697.65440483305701</v>
      </c>
      <c r="J124" s="1">
        <v>80</v>
      </c>
      <c r="K124" s="1">
        <v>23</v>
      </c>
      <c r="L124" s="7">
        <v>13</v>
      </c>
      <c r="M124" s="1">
        <v>10</v>
      </c>
      <c r="N124" s="1">
        <v>4</v>
      </c>
      <c r="O124" s="4">
        <v>16.453917808219199</v>
      </c>
      <c r="P124" s="4">
        <v>0.43239334779464933</v>
      </c>
      <c r="Q124" s="8">
        <v>13465.72</v>
      </c>
      <c r="R124" s="8">
        <v>55.3</v>
      </c>
      <c r="S124" s="5">
        <v>2.2349999999999999</v>
      </c>
      <c r="T124" s="5">
        <v>0.122</v>
      </c>
      <c r="U124" s="1">
        <v>0</v>
      </c>
      <c r="V124" s="1">
        <v>42.379075</v>
      </c>
      <c r="W124" s="1">
        <v>2.9588709999999998</v>
      </c>
      <c r="X124" s="1">
        <v>0</v>
      </c>
      <c r="Y124" s="1">
        <v>0</v>
      </c>
      <c r="Z124" s="4">
        <f t="shared" si="1"/>
        <v>0.56760665220535067</v>
      </c>
    </row>
    <row r="125" spans="1:26" x14ac:dyDescent="0.15">
      <c r="A125" s="1" t="s">
        <v>145</v>
      </c>
      <c r="B125" s="1" t="s">
        <v>141</v>
      </c>
      <c r="C125" s="1">
        <v>0.59687494500000005</v>
      </c>
      <c r="D125" s="1">
        <v>2.94779E-4</v>
      </c>
      <c r="E125" s="1">
        <v>6.7987500000000001</v>
      </c>
      <c r="F125" s="1">
        <v>425.94797886333299</v>
      </c>
      <c r="G125" s="5">
        <v>18.260000000000002</v>
      </c>
      <c r="H125" s="4">
        <v>254.80964490858099</v>
      </c>
      <c r="I125" s="4">
        <v>3543.5892847751602</v>
      </c>
      <c r="J125" s="1">
        <v>80</v>
      </c>
      <c r="K125" s="1">
        <v>20</v>
      </c>
      <c r="L125" s="7">
        <v>10</v>
      </c>
      <c r="M125" s="1">
        <v>7</v>
      </c>
      <c r="N125" s="7">
        <v>1</v>
      </c>
      <c r="O125" s="4">
        <v>16.453917808219199</v>
      </c>
      <c r="P125" s="4">
        <v>0.42990654205607476</v>
      </c>
      <c r="Q125" s="8">
        <v>11455.29</v>
      </c>
      <c r="R125" s="8">
        <v>44.1</v>
      </c>
      <c r="S125" s="5">
        <v>4.1970000000000001</v>
      </c>
      <c r="T125" s="5">
        <v>0.77100000000000002</v>
      </c>
      <c r="U125" s="1">
        <v>0</v>
      </c>
      <c r="V125" s="1">
        <v>42.381861000000001</v>
      </c>
      <c r="W125" s="1">
        <v>2.9831940000000001</v>
      </c>
      <c r="X125" s="1">
        <v>0</v>
      </c>
      <c r="Y125" s="1">
        <v>0</v>
      </c>
      <c r="Z125" s="4">
        <f t="shared" si="1"/>
        <v>0.57009345794392519</v>
      </c>
    </row>
    <row r="126" spans="1:26" x14ac:dyDescent="0.15">
      <c r="A126" s="1" t="s">
        <v>146</v>
      </c>
      <c r="B126" s="1" t="s">
        <v>141</v>
      </c>
      <c r="C126" s="1">
        <v>0.63961459300000001</v>
      </c>
      <c r="D126" s="1">
        <v>3.30262E-4</v>
      </c>
      <c r="F126" s="1">
        <v>222.76017549214299</v>
      </c>
      <c r="G126" s="5">
        <v>24.08</v>
      </c>
      <c r="H126" s="4">
        <v>897.63816736504702</v>
      </c>
      <c r="I126" s="4">
        <v>447.23635584595797</v>
      </c>
      <c r="J126" s="1">
        <v>80</v>
      </c>
      <c r="K126" s="1">
        <v>19</v>
      </c>
      <c r="L126" s="7">
        <v>11</v>
      </c>
      <c r="M126" s="1">
        <v>7</v>
      </c>
      <c r="N126" s="1">
        <v>4</v>
      </c>
      <c r="O126" s="4">
        <v>16.453917808219199</v>
      </c>
      <c r="P126" s="4">
        <v>0.43690736688548504</v>
      </c>
      <c r="Q126" s="8">
        <v>11128.87</v>
      </c>
      <c r="R126" s="8">
        <v>25</v>
      </c>
      <c r="S126" s="5">
        <v>2.734</v>
      </c>
      <c r="T126" s="5">
        <v>7.9000000000000001E-2</v>
      </c>
      <c r="U126" s="1">
        <v>0</v>
      </c>
      <c r="V126" s="1">
        <v>42.398274999999998</v>
      </c>
      <c r="W126" s="1">
        <v>2.9287619999999999</v>
      </c>
      <c r="X126" s="1">
        <v>0</v>
      </c>
      <c r="Y126" s="1">
        <v>0</v>
      </c>
      <c r="Z126" s="4">
        <f t="shared" si="1"/>
        <v>0.56309263311451496</v>
      </c>
    </row>
    <row r="127" spans="1:26" x14ac:dyDescent="0.15">
      <c r="A127" s="1" t="s">
        <v>147</v>
      </c>
      <c r="B127" s="1" t="s">
        <v>141</v>
      </c>
      <c r="C127" s="1">
        <v>0.43755035799999997</v>
      </c>
      <c r="D127" s="1">
        <v>9.4757569999999996E-3</v>
      </c>
      <c r="E127" s="1">
        <v>1.2712333330000001</v>
      </c>
      <c r="F127" s="1">
        <v>98.4472917949048</v>
      </c>
      <c r="G127" s="5">
        <v>6.7649999999999997</v>
      </c>
      <c r="H127" s="4">
        <v>159.75177851239701</v>
      </c>
      <c r="I127" s="4">
        <v>251.81688907145099</v>
      </c>
      <c r="J127" s="1">
        <v>40</v>
      </c>
      <c r="K127" s="1">
        <v>15</v>
      </c>
      <c r="L127" s="7">
        <v>4</v>
      </c>
      <c r="M127" s="1">
        <v>7</v>
      </c>
      <c r="N127" s="1">
        <v>8</v>
      </c>
      <c r="O127" s="4">
        <v>13.0012191780822</v>
      </c>
      <c r="P127" s="4">
        <v>0.5509293680297398</v>
      </c>
      <c r="Q127" s="8">
        <v>176.62</v>
      </c>
      <c r="R127" s="8">
        <v>32.700000000000003</v>
      </c>
      <c r="S127" s="5">
        <v>0.79849999999999999</v>
      </c>
      <c r="T127" s="5">
        <v>4.1500000000000002E-2</v>
      </c>
      <c r="U127" s="1">
        <v>0</v>
      </c>
      <c r="V127" s="1">
        <v>41.961359000000002</v>
      </c>
      <c r="W127" s="1">
        <v>2.3520729999999999</v>
      </c>
      <c r="X127" s="1">
        <v>0</v>
      </c>
      <c r="Y127" s="1">
        <v>0</v>
      </c>
      <c r="Z127" s="4">
        <f t="shared" si="1"/>
        <v>0.4490706319702602</v>
      </c>
    </row>
    <row r="128" spans="1:26" x14ac:dyDescent="0.15">
      <c r="A128" s="1" t="s">
        <v>148</v>
      </c>
      <c r="B128" s="1" t="s">
        <v>141</v>
      </c>
      <c r="C128" s="1">
        <v>0.29132744199999999</v>
      </c>
      <c r="D128" s="1">
        <v>1.2358129000000001E-2</v>
      </c>
      <c r="E128" s="1">
        <v>1.0473666669999999</v>
      </c>
      <c r="F128" s="1">
        <v>1623.3508379504301</v>
      </c>
      <c r="G128" s="5">
        <v>82.087666666666706</v>
      </c>
      <c r="H128" s="4">
        <v>88.315768892003206</v>
      </c>
      <c r="I128" s="4">
        <v>4636.6392045230596</v>
      </c>
      <c r="J128" s="1">
        <v>40</v>
      </c>
      <c r="K128" s="1">
        <v>7</v>
      </c>
      <c r="L128" s="7">
        <v>6</v>
      </c>
      <c r="M128" s="1">
        <v>11</v>
      </c>
      <c r="N128" s="1">
        <v>5</v>
      </c>
      <c r="O128" s="4">
        <v>13.0012191780822</v>
      </c>
      <c r="P128" s="4">
        <v>0.5575620767494357</v>
      </c>
      <c r="Q128" s="8">
        <v>366.92</v>
      </c>
      <c r="R128" s="8">
        <v>35.200000000000003</v>
      </c>
      <c r="S128" s="5">
        <v>1.6643333333333299</v>
      </c>
      <c r="T128" s="5">
        <v>0.13466666666666699</v>
      </c>
      <c r="U128" s="1">
        <v>85</v>
      </c>
      <c r="V128" s="1">
        <v>41.961379000000001</v>
      </c>
      <c r="W128" s="1">
        <v>2.3673799999999998</v>
      </c>
      <c r="X128" s="1">
        <v>0</v>
      </c>
      <c r="Y128" s="1">
        <v>0</v>
      </c>
      <c r="Z128" s="4">
        <f t="shared" si="1"/>
        <v>0.4424379232505643</v>
      </c>
    </row>
    <row r="129" spans="1:26" x14ac:dyDescent="0.15">
      <c r="A129" s="1" t="s">
        <v>149</v>
      </c>
      <c r="B129" s="1" t="s">
        <v>141</v>
      </c>
      <c r="C129" s="1">
        <v>0.28549075600000001</v>
      </c>
      <c r="D129" s="1">
        <v>1.8390752999999999E-2</v>
      </c>
      <c r="F129" s="1">
        <v>884.94319007624995</v>
      </c>
      <c r="G129" s="5">
        <v>65.101666666666702</v>
      </c>
      <c r="H129" s="4">
        <v>102.22783540054699</v>
      </c>
      <c r="I129" s="4">
        <v>1149.9113444301699</v>
      </c>
      <c r="J129" s="1">
        <v>80</v>
      </c>
      <c r="K129" s="1">
        <v>12</v>
      </c>
      <c r="L129" s="7">
        <v>5</v>
      </c>
      <c r="M129" s="1">
        <v>10</v>
      </c>
      <c r="N129" s="1">
        <v>1</v>
      </c>
      <c r="O129" s="4">
        <v>13.0012191780822</v>
      </c>
      <c r="P129" s="4">
        <v>0.55381165919282516</v>
      </c>
      <c r="Q129" s="8">
        <v>324.83999999999997</v>
      </c>
      <c r="R129" s="8">
        <v>22.7</v>
      </c>
      <c r="S129" s="5">
        <v>2.6626666666666701</v>
      </c>
      <c r="T129" s="5">
        <v>0.17933333333333301</v>
      </c>
      <c r="U129" s="1">
        <v>50</v>
      </c>
      <c r="V129" s="1">
        <v>41.963700000000003</v>
      </c>
      <c r="W129" s="1">
        <v>2.3627500000000001</v>
      </c>
      <c r="X129" s="1">
        <v>1</v>
      </c>
      <c r="Y129" s="1">
        <v>0</v>
      </c>
      <c r="Z129" s="4">
        <f t="shared" si="1"/>
        <v>0.44618834080717484</v>
      </c>
    </row>
    <row r="130" spans="1:26" x14ac:dyDescent="0.15">
      <c r="A130" s="1" t="s">
        <v>150</v>
      </c>
      <c r="B130" s="1" t="s">
        <v>141</v>
      </c>
      <c r="E130" s="1">
        <v>7.7324666684999999</v>
      </c>
      <c r="F130" s="1">
        <v>303.54101100525003</v>
      </c>
      <c r="G130" s="5">
        <v>14.742333333333301</v>
      </c>
      <c r="H130" s="4">
        <v>24.161262309462298</v>
      </c>
      <c r="I130" s="4">
        <v>9953.8838590499799</v>
      </c>
      <c r="J130" s="1">
        <v>20</v>
      </c>
      <c r="K130" s="1">
        <v>11</v>
      </c>
      <c r="L130" s="7">
        <v>4</v>
      </c>
      <c r="M130" s="1">
        <v>7</v>
      </c>
      <c r="N130" s="1">
        <v>6</v>
      </c>
      <c r="O130" s="4">
        <v>13.0012191780822</v>
      </c>
      <c r="P130" s="4">
        <v>0.55011135857461024</v>
      </c>
      <c r="Q130" s="8">
        <v>128.52000000000001</v>
      </c>
      <c r="R130" s="8">
        <v>56.2</v>
      </c>
      <c r="S130" s="5">
        <v>0.97466666666666701</v>
      </c>
      <c r="T130" s="5">
        <v>4.6333333333333303E-2</v>
      </c>
      <c r="U130" s="1">
        <v>0</v>
      </c>
      <c r="V130" s="1">
        <v>41.968110000000003</v>
      </c>
      <c r="W130" s="1">
        <v>2.3743300000000001</v>
      </c>
      <c r="X130" s="1">
        <v>0</v>
      </c>
      <c r="Y130" s="1">
        <v>0</v>
      </c>
      <c r="Z130" s="4">
        <f t="shared" si="1"/>
        <v>0.44988864142538976</v>
      </c>
    </row>
    <row r="131" spans="1:26" x14ac:dyDescent="0.15">
      <c r="A131" s="1" t="s">
        <v>151</v>
      </c>
      <c r="B131" s="1" t="s">
        <v>141</v>
      </c>
      <c r="C131" s="1">
        <v>0.32794951700000002</v>
      </c>
      <c r="D131" s="1">
        <v>1.7832069999999998E-2</v>
      </c>
      <c r="F131" s="1">
        <v>1092.14171636336</v>
      </c>
      <c r="G131" s="5">
        <v>194.12</v>
      </c>
      <c r="H131" s="4">
        <v>162.05822272845299</v>
      </c>
      <c r="I131" s="4">
        <v>14687.237653251001</v>
      </c>
      <c r="J131" s="1">
        <v>60</v>
      </c>
      <c r="K131" s="1">
        <v>13</v>
      </c>
      <c r="L131" s="7">
        <v>5</v>
      </c>
      <c r="M131" s="1">
        <v>9</v>
      </c>
      <c r="N131" s="1">
        <v>6</v>
      </c>
      <c r="O131" s="4">
        <v>13.3922739726027</v>
      </c>
      <c r="P131" s="4">
        <v>0.56981132075471697</v>
      </c>
      <c r="Q131" s="8">
        <v>248.35</v>
      </c>
      <c r="R131" s="8">
        <v>34.299999999999997</v>
      </c>
      <c r="S131" s="5">
        <v>4.9359999999999999</v>
      </c>
      <c r="T131" s="5">
        <v>0.30299999999999999</v>
      </c>
      <c r="U131" s="1">
        <v>40</v>
      </c>
      <c r="V131" s="1">
        <v>41.963472000000003</v>
      </c>
      <c r="W131" s="1">
        <v>2.375213</v>
      </c>
      <c r="X131" s="1">
        <v>0</v>
      </c>
      <c r="Y131" s="1">
        <v>0</v>
      </c>
      <c r="Z131" s="4">
        <f t="shared" ref="Z131:Z194" si="2">1-P131</f>
        <v>0.43018867924528303</v>
      </c>
    </row>
    <row r="132" spans="1:26" x14ac:dyDescent="0.15">
      <c r="A132" s="1" t="s">
        <v>152</v>
      </c>
      <c r="B132" s="1" t="s">
        <v>141</v>
      </c>
      <c r="C132" s="1">
        <v>0.19174859499999999</v>
      </c>
      <c r="E132" s="1">
        <v>0.98213333300000005</v>
      </c>
      <c r="F132" s="1">
        <v>841.97538879224999</v>
      </c>
      <c r="G132" s="5">
        <v>66.349000000000004</v>
      </c>
      <c r="H132" s="4">
        <v>80.138493344670707</v>
      </c>
      <c r="I132" s="4">
        <v>2393.9255133070901</v>
      </c>
      <c r="J132" s="1">
        <v>20</v>
      </c>
      <c r="K132" s="1">
        <v>10</v>
      </c>
      <c r="L132" s="7">
        <v>4</v>
      </c>
      <c r="M132" s="1">
        <v>9</v>
      </c>
      <c r="N132" s="1">
        <v>3</v>
      </c>
      <c r="O132" s="4">
        <v>13.0012191780822</v>
      </c>
      <c r="P132" s="4">
        <v>0.5575620767494357</v>
      </c>
      <c r="Q132" s="8">
        <v>55.04</v>
      </c>
      <c r="R132" s="8">
        <v>42.6</v>
      </c>
      <c r="S132" s="5">
        <v>2.8113333333333301</v>
      </c>
      <c r="T132" s="5">
        <v>0.109</v>
      </c>
      <c r="U132" s="1">
        <v>10</v>
      </c>
      <c r="V132" s="1">
        <v>41.958503999999998</v>
      </c>
      <c r="W132" s="1">
        <v>2.3689078000000001</v>
      </c>
      <c r="X132" s="1">
        <v>0</v>
      </c>
      <c r="Y132" s="1">
        <v>0</v>
      </c>
      <c r="Z132" s="4">
        <f t="shared" si="2"/>
        <v>0.4424379232505643</v>
      </c>
    </row>
    <row r="133" spans="1:26" x14ac:dyDescent="0.15">
      <c r="A133" s="1" t="s">
        <v>153</v>
      </c>
      <c r="B133" s="1" t="s">
        <v>141</v>
      </c>
      <c r="C133" s="1">
        <v>0.34966797199999999</v>
      </c>
      <c r="D133" s="1">
        <v>9.6251029999999994E-3</v>
      </c>
      <c r="E133" s="1">
        <v>0.31945000000000001</v>
      </c>
      <c r="F133" s="1">
        <v>5.4445933273750002</v>
      </c>
      <c r="G133" s="5">
        <v>8.5299999999999994</v>
      </c>
      <c r="H133" s="4">
        <v>81.704944243765397</v>
      </c>
      <c r="I133" s="4">
        <v>133.025166927941</v>
      </c>
      <c r="J133" s="1">
        <v>20</v>
      </c>
      <c r="K133" s="1">
        <v>8</v>
      </c>
      <c r="L133" s="7">
        <v>5</v>
      </c>
      <c r="M133" s="1">
        <v>3</v>
      </c>
      <c r="N133" s="1">
        <v>7</v>
      </c>
      <c r="O133" s="4">
        <v>15.8970547945205</v>
      </c>
      <c r="P133" s="4">
        <v>0.57480916030534346</v>
      </c>
      <c r="Q133" s="8">
        <v>565.29</v>
      </c>
      <c r="R133" s="8">
        <v>76.400000000000006</v>
      </c>
      <c r="S133" s="5">
        <v>0.68899999999999995</v>
      </c>
      <c r="T133" s="5">
        <v>2.1999999999999999E-2</v>
      </c>
      <c r="U133" s="1">
        <v>0</v>
      </c>
      <c r="V133" s="1">
        <v>41.828848000000001</v>
      </c>
      <c r="W133" s="1">
        <v>2.718302</v>
      </c>
      <c r="X133" s="1">
        <v>1</v>
      </c>
      <c r="Y133" s="1">
        <v>0</v>
      </c>
      <c r="Z133" s="4">
        <f t="shared" si="2"/>
        <v>0.42519083969465654</v>
      </c>
    </row>
    <row r="134" spans="1:26" x14ac:dyDescent="0.15">
      <c r="A134" s="1" t="s">
        <v>154</v>
      </c>
      <c r="B134" s="1" t="s">
        <v>141</v>
      </c>
      <c r="C134" s="1">
        <v>0.27019626899999999</v>
      </c>
      <c r="D134" s="1">
        <v>1.5767356999999999E-2</v>
      </c>
      <c r="E134" s="1">
        <v>1.838975</v>
      </c>
      <c r="F134" s="1">
        <v>529.38183507983297</v>
      </c>
      <c r="G134" s="5">
        <v>19.279</v>
      </c>
      <c r="H134" s="4">
        <v>14.9847741635738</v>
      </c>
      <c r="I134" s="4">
        <v>69.004498353074297</v>
      </c>
      <c r="J134" s="1">
        <v>20</v>
      </c>
      <c r="K134" s="1">
        <v>8</v>
      </c>
      <c r="L134" s="7">
        <v>5</v>
      </c>
      <c r="M134" s="1">
        <v>5</v>
      </c>
      <c r="N134" s="1">
        <v>3</v>
      </c>
      <c r="O134" s="4">
        <v>15.8970547945205</v>
      </c>
      <c r="P134" s="4">
        <v>0.59219586840091809</v>
      </c>
      <c r="Q134" s="8">
        <v>56.16</v>
      </c>
      <c r="R134" s="8">
        <v>106.9</v>
      </c>
      <c r="S134" s="5">
        <v>1.3156666666666701</v>
      </c>
      <c r="T134" s="5">
        <v>0.109</v>
      </c>
      <c r="U134" s="1">
        <v>50</v>
      </c>
      <c r="V134" s="1">
        <v>41.812626999999999</v>
      </c>
      <c r="W134" s="1">
        <v>2.7008429999999999</v>
      </c>
      <c r="X134" s="1">
        <v>1</v>
      </c>
      <c r="Y134" s="1">
        <v>0</v>
      </c>
      <c r="Z134" s="4">
        <f t="shared" si="2"/>
        <v>0.40780413159908191</v>
      </c>
    </row>
    <row r="135" spans="1:26" x14ac:dyDescent="0.15">
      <c r="A135" s="1" t="s">
        <v>155</v>
      </c>
      <c r="B135" s="1" t="s">
        <v>141</v>
      </c>
      <c r="E135" s="1">
        <v>2.2366166664999998</v>
      </c>
      <c r="F135" s="1">
        <v>171.52076219937501</v>
      </c>
      <c r="G135" s="5">
        <v>29.795000000000002</v>
      </c>
      <c r="H135" s="4">
        <v>103.70132895274099</v>
      </c>
      <c r="I135" s="4">
        <v>8.4228123504693606</v>
      </c>
      <c r="J135" s="1">
        <v>20</v>
      </c>
      <c r="K135" s="1">
        <v>9</v>
      </c>
      <c r="L135" s="7">
        <v>6</v>
      </c>
      <c r="M135" s="1">
        <v>4</v>
      </c>
      <c r="N135" s="1">
        <v>1</v>
      </c>
      <c r="O135" s="4">
        <v>15.8970547945205</v>
      </c>
      <c r="P135" s="4">
        <v>0.60200153964588143</v>
      </c>
      <c r="Q135" s="8">
        <v>1402.71</v>
      </c>
      <c r="R135" s="8">
        <v>84.3</v>
      </c>
      <c r="S135" s="5">
        <v>0.77033333333333298</v>
      </c>
      <c r="T135" s="5">
        <v>4.3999999999999997E-2</v>
      </c>
      <c r="U135" s="1">
        <v>95</v>
      </c>
      <c r="V135" s="1">
        <v>41.835918999999997</v>
      </c>
      <c r="W135" s="1">
        <v>2.6991260000000001</v>
      </c>
      <c r="X135" s="1">
        <v>1</v>
      </c>
      <c r="Y135" s="1">
        <v>1</v>
      </c>
      <c r="Z135" s="4">
        <f t="shared" si="2"/>
        <v>0.39799846035411857</v>
      </c>
    </row>
    <row r="136" spans="1:26" x14ac:dyDescent="0.15">
      <c r="A136" s="1" t="s">
        <v>156</v>
      </c>
      <c r="B136" s="1" t="s">
        <v>141</v>
      </c>
      <c r="E136" s="1">
        <v>3.7637499999999999</v>
      </c>
      <c r="F136" s="1">
        <v>169.56530149599999</v>
      </c>
      <c r="G136" s="5">
        <v>27.737666666666701</v>
      </c>
      <c r="H136" s="4">
        <v>61.146930308779702</v>
      </c>
      <c r="I136" s="4">
        <v>3.73207652305154</v>
      </c>
      <c r="J136" s="1">
        <v>1</v>
      </c>
      <c r="K136" s="1">
        <v>6</v>
      </c>
      <c r="L136" s="7">
        <v>5</v>
      </c>
      <c r="M136" s="1">
        <v>2</v>
      </c>
      <c r="N136" s="1">
        <v>1</v>
      </c>
      <c r="O136" s="4">
        <v>15.8970547945205</v>
      </c>
      <c r="P136" s="4">
        <v>0.57437070938215107</v>
      </c>
      <c r="Q136" s="8">
        <v>307.7</v>
      </c>
      <c r="R136" s="8">
        <v>80.400000000000006</v>
      </c>
      <c r="S136" s="5">
        <v>1.2606666666666699</v>
      </c>
      <c r="T136" s="5">
        <v>6.7333333333333301E-2</v>
      </c>
      <c r="U136" s="1">
        <v>0</v>
      </c>
      <c r="V136" s="1">
        <v>41.819409</v>
      </c>
      <c r="W136" s="1">
        <v>2.7249150000000002</v>
      </c>
      <c r="X136" s="1">
        <v>1</v>
      </c>
      <c r="Y136" s="1">
        <v>0</v>
      </c>
      <c r="Z136" s="4">
        <f t="shared" si="2"/>
        <v>0.42562929061784893</v>
      </c>
    </row>
    <row r="137" spans="1:26" x14ac:dyDescent="0.15">
      <c r="A137" s="1" t="s">
        <v>157</v>
      </c>
      <c r="B137" s="1" t="s">
        <v>141</v>
      </c>
      <c r="C137" s="1">
        <v>0.286108788</v>
      </c>
      <c r="D137" s="1">
        <v>2.1233426E-2</v>
      </c>
      <c r="E137" s="1">
        <v>4.2316416664999998</v>
      </c>
      <c r="F137" s="1">
        <v>2438.9258260042898</v>
      </c>
      <c r="G137" s="5">
        <v>36.773666666666699</v>
      </c>
      <c r="H137" s="4">
        <v>1642.81733958838</v>
      </c>
      <c r="I137" s="4">
        <v>193.665658099014</v>
      </c>
      <c r="J137" s="1">
        <v>60</v>
      </c>
      <c r="K137" s="1">
        <v>10</v>
      </c>
      <c r="L137" s="7">
        <v>4</v>
      </c>
      <c r="M137" s="1">
        <v>6</v>
      </c>
      <c r="N137" s="1">
        <v>3</v>
      </c>
      <c r="O137" s="4">
        <v>15.8970547945205</v>
      </c>
      <c r="P137" s="4">
        <v>0.59083969465648856</v>
      </c>
      <c r="Q137" s="8">
        <v>101.3</v>
      </c>
      <c r="R137" s="8">
        <v>66.3</v>
      </c>
      <c r="S137" s="5">
        <v>2.8386666666666698</v>
      </c>
      <c r="T137" s="5">
        <v>0.53233333333333299</v>
      </c>
      <c r="U137" s="1">
        <v>20</v>
      </c>
      <c r="V137" s="1">
        <v>41.8184532</v>
      </c>
      <c r="W137" s="1">
        <v>2.7015890499999999</v>
      </c>
      <c r="X137" s="1">
        <v>1</v>
      </c>
      <c r="Y137" s="1">
        <v>1</v>
      </c>
      <c r="Z137" s="4">
        <f t="shared" si="2"/>
        <v>0.40916030534351144</v>
      </c>
    </row>
    <row r="138" spans="1:26" x14ac:dyDescent="0.15">
      <c r="A138" s="1" t="s">
        <v>158</v>
      </c>
      <c r="B138" s="1" t="s">
        <v>141</v>
      </c>
      <c r="F138" s="1">
        <v>195.1729665204</v>
      </c>
      <c r="G138" s="5">
        <v>98.842333333333301</v>
      </c>
      <c r="H138" s="4">
        <v>579.08332422426099</v>
      </c>
      <c r="I138" s="4">
        <v>132.29811210518599</v>
      </c>
      <c r="J138" s="1">
        <v>20</v>
      </c>
      <c r="K138" s="1">
        <v>13</v>
      </c>
      <c r="L138" s="7">
        <v>4</v>
      </c>
      <c r="M138" s="1">
        <v>2</v>
      </c>
      <c r="N138" s="1">
        <v>1</v>
      </c>
      <c r="O138" s="4">
        <v>15.8970547945205</v>
      </c>
      <c r="P138" s="4">
        <v>0.57701149425287357</v>
      </c>
      <c r="Q138" s="8">
        <v>215.3</v>
      </c>
      <c r="R138" s="8">
        <v>119.9</v>
      </c>
      <c r="S138" s="5">
        <v>0.93200000000000005</v>
      </c>
      <c r="T138" s="5">
        <v>7.3999999999999996E-2</v>
      </c>
      <c r="U138" s="1">
        <v>85</v>
      </c>
      <c r="V138" s="1">
        <v>41.810645999999998</v>
      </c>
      <c r="W138" s="1">
        <v>2.7088350000000001</v>
      </c>
      <c r="X138" s="1">
        <v>0</v>
      </c>
      <c r="Y138" s="1">
        <v>1</v>
      </c>
      <c r="Z138" s="4">
        <f t="shared" si="2"/>
        <v>0.42298850574712643</v>
      </c>
    </row>
    <row r="139" spans="1:26" x14ac:dyDescent="0.15">
      <c r="A139" s="1" t="s">
        <v>159</v>
      </c>
      <c r="B139" s="1" t="s">
        <v>141</v>
      </c>
      <c r="C139" s="1">
        <v>0.30843611199999998</v>
      </c>
      <c r="D139" s="1">
        <v>9.2458079999999995E-3</v>
      </c>
      <c r="E139" s="1">
        <v>3.46645</v>
      </c>
      <c r="F139" s="1">
        <v>1000.5225987145</v>
      </c>
      <c r="G139" s="5">
        <v>51.697333333333297</v>
      </c>
      <c r="H139" s="4">
        <v>404.34903597797802</v>
      </c>
      <c r="I139" s="4">
        <v>596.19588763654201</v>
      </c>
      <c r="J139" s="1">
        <v>1</v>
      </c>
      <c r="K139" s="1">
        <v>6</v>
      </c>
      <c r="L139" s="7">
        <v>4</v>
      </c>
      <c r="M139" s="1">
        <v>4</v>
      </c>
      <c r="N139" s="1">
        <v>7</v>
      </c>
      <c r="O139" s="4">
        <v>12.408410958904099</v>
      </c>
      <c r="P139" s="4">
        <v>0.58980213089802136</v>
      </c>
      <c r="Q139" s="8">
        <v>114.39</v>
      </c>
      <c r="R139" s="8">
        <v>25.1</v>
      </c>
      <c r="S139" s="5">
        <v>1.4570000000000001</v>
      </c>
      <c r="T139" s="5">
        <v>0.113666666666667</v>
      </c>
      <c r="U139" s="1">
        <v>0</v>
      </c>
      <c r="V139" s="1">
        <v>42.258741299999997</v>
      </c>
      <c r="W139" s="1">
        <v>2.51817</v>
      </c>
      <c r="X139" s="1">
        <v>0</v>
      </c>
      <c r="Y139" s="1">
        <v>0</v>
      </c>
      <c r="Z139" s="4">
        <f t="shared" si="2"/>
        <v>0.41019786910197864</v>
      </c>
    </row>
    <row r="140" spans="1:26" x14ac:dyDescent="0.15">
      <c r="A140" s="1" t="s">
        <v>160</v>
      </c>
      <c r="B140" s="1" t="s">
        <v>141</v>
      </c>
      <c r="C140" s="1">
        <v>0.29829520300000001</v>
      </c>
      <c r="D140" s="1">
        <v>1.7004383000000001E-2</v>
      </c>
      <c r="E140" s="1">
        <v>0.67569999999999997</v>
      </c>
      <c r="F140" s="1">
        <v>1414.7622807499999</v>
      </c>
      <c r="G140" s="5">
        <v>4.7876666666666701</v>
      </c>
      <c r="H140" s="4">
        <v>3590.5189612890599</v>
      </c>
      <c r="I140" s="4">
        <v>7179.9360492600499</v>
      </c>
      <c r="J140" s="1">
        <v>60</v>
      </c>
      <c r="K140" s="1">
        <v>14</v>
      </c>
      <c r="L140" s="7">
        <v>4</v>
      </c>
      <c r="M140" s="1">
        <v>8</v>
      </c>
      <c r="N140" s="1">
        <v>7</v>
      </c>
      <c r="O140" s="4">
        <v>12.408410958904099</v>
      </c>
      <c r="P140" s="4">
        <v>0.60311284046692604</v>
      </c>
      <c r="Q140" s="8">
        <v>116.61</v>
      </c>
      <c r="R140" s="8">
        <v>30.7</v>
      </c>
      <c r="S140" s="5">
        <v>5.2069999999999999</v>
      </c>
      <c r="T140" s="5">
        <v>5.7333333333333299E-2</v>
      </c>
      <c r="U140" s="1">
        <v>35</v>
      </c>
      <c r="V140" s="1">
        <v>42.289885400000003</v>
      </c>
      <c r="W140" s="1">
        <v>2.5140633000000001</v>
      </c>
      <c r="X140" s="1">
        <v>0</v>
      </c>
      <c r="Y140" s="1">
        <v>0</v>
      </c>
      <c r="Z140" s="4">
        <f t="shared" si="2"/>
        <v>0.39688715953307396</v>
      </c>
    </row>
    <row r="141" spans="1:26" x14ac:dyDescent="0.15">
      <c r="A141" s="1" t="s">
        <v>161</v>
      </c>
      <c r="B141" s="1" t="s">
        <v>141</v>
      </c>
      <c r="C141" s="1">
        <v>0.27693676699999997</v>
      </c>
      <c r="D141" s="1">
        <v>1.6883536000000001E-2</v>
      </c>
      <c r="E141" s="1">
        <v>3.0300666664999998</v>
      </c>
      <c r="F141" s="1">
        <v>517.35503673699998</v>
      </c>
      <c r="G141" s="5">
        <v>39.055333333333301</v>
      </c>
      <c r="H141" s="4">
        <v>4561.3220539362501</v>
      </c>
      <c r="I141" s="4">
        <v>6124.0239967122898</v>
      </c>
      <c r="J141" s="1">
        <v>20</v>
      </c>
      <c r="K141" s="1">
        <v>10</v>
      </c>
      <c r="L141" s="7">
        <v>3</v>
      </c>
      <c r="M141" s="1">
        <v>5</v>
      </c>
      <c r="N141" s="1">
        <v>3</v>
      </c>
      <c r="O141" s="4">
        <v>12.408410958904099</v>
      </c>
      <c r="P141" s="4">
        <v>0.60546875</v>
      </c>
      <c r="Q141" s="8">
        <v>86.05</v>
      </c>
      <c r="R141" s="8">
        <v>34.9</v>
      </c>
      <c r="S141" s="5">
        <v>2.4</v>
      </c>
      <c r="T141" s="5">
        <v>7.0333333333333303E-2</v>
      </c>
      <c r="U141" s="1">
        <v>0</v>
      </c>
      <c r="V141" s="1">
        <v>42.284456599999999</v>
      </c>
      <c r="W141" s="1">
        <v>2.5013695999999999</v>
      </c>
      <c r="X141" s="1">
        <v>0</v>
      </c>
      <c r="Y141" s="1">
        <v>0</v>
      </c>
      <c r="Z141" s="4">
        <f t="shared" si="2"/>
        <v>0.39453125</v>
      </c>
    </row>
    <row r="142" spans="1:26" x14ac:dyDescent="0.15">
      <c r="A142" s="1" t="s">
        <v>162</v>
      </c>
      <c r="B142" s="1" t="s">
        <v>141</v>
      </c>
      <c r="C142" s="1">
        <v>0.34474555600000001</v>
      </c>
      <c r="D142" s="1">
        <v>1.4190586999999999E-2</v>
      </c>
      <c r="F142" s="1">
        <v>330.58856895700001</v>
      </c>
      <c r="G142" s="5">
        <v>12.9</v>
      </c>
      <c r="H142" s="4">
        <v>7986.19956143131</v>
      </c>
      <c r="I142" s="4">
        <v>3516.4341100624401</v>
      </c>
      <c r="J142" s="1">
        <v>40</v>
      </c>
      <c r="K142" s="1">
        <v>7</v>
      </c>
      <c r="L142" s="7">
        <v>3</v>
      </c>
      <c r="M142" s="1">
        <v>6</v>
      </c>
      <c r="N142" s="1">
        <v>1</v>
      </c>
      <c r="O142" s="4">
        <v>12.408410958904099</v>
      </c>
      <c r="P142" s="4">
        <v>0.6262705238467553</v>
      </c>
      <c r="Q142" s="8">
        <v>84.39</v>
      </c>
      <c r="R142" s="8">
        <v>27</v>
      </c>
      <c r="S142" s="5">
        <v>2.4209999999999998</v>
      </c>
      <c r="T142" s="5">
        <v>8.8999999999999996E-2</v>
      </c>
      <c r="U142" s="1">
        <v>0</v>
      </c>
      <c r="V142" s="1">
        <v>42.288726799999999</v>
      </c>
      <c r="W142" s="1">
        <v>2.4980609999999999</v>
      </c>
      <c r="X142" s="1">
        <v>0</v>
      </c>
      <c r="Y142" s="1">
        <v>0</v>
      </c>
      <c r="Z142" s="4">
        <f t="shared" si="2"/>
        <v>0.3737294761532447</v>
      </c>
    </row>
    <row r="143" spans="1:26" x14ac:dyDescent="0.15">
      <c r="A143" s="1" t="s">
        <v>163</v>
      </c>
      <c r="B143" s="1" t="s">
        <v>141</v>
      </c>
      <c r="C143" s="1">
        <v>0.37545018499999999</v>
      </c>
      <c r="D143" s="1">
        <v>8.6089589999999994E-3</v>
      </c>
      <c r="E143" s="1">
        <v>0.27898333349999999</v>
      </c>
      <c r="F143" s="1">
        <v>362.6213647605</v>
      </c>
      <c r="G143" s="5">
        <v>22.613</v>
      </c>
      <c r="H143" s="4">
        <v>636.69332441997699</v>
      </c>
      <c r="I143" s="4"/>
      <c r="J143" s="1">
        <v>40</v>
      </c>
      <c r="K143" s="1">
        <v>10</v>
      </c>
      <c r="L143" s="7">
        <v>5</v>
      </c>
      <c r="M143" s="1">
        <v>3</v>
      </c>
      <c r="N143" s="1">
        <v>5</v>
      </c>
      <c r="O143" s="4">
        <v>12.408410958904099</v>
      </c>
      <c r="P143" s="4">
        <v>0.596612779060816</v>
      </c>
      <c r="Q143" s="8">
        <v>95.42</v>
      </c>
      <c r="R143" s="8">
        <v>18.399999999999999</v>
      </c>
      <c r="S143" s="5">
        <v>0.97650000000000003</v>
      </c>
      <c r="T143" s="5">
        <v>0.10299999999999999</v>
      </c>
      <c r="U143" s="1">
        <v>0</v>
      </c>
      <c r="V143" s="1">
        <v>42.276232</v>
      </c>
      <c r="W143" s="1">
        <v>2.5099721000000002</v>
      </c>
      <c r="X143" s="1">
        <v>0</v>
      </c>
      <c r="Y143" s="1">
        <v>0</v>
      </c>
      <c r="Z143" s="4">
        <f t="shared" si="2"/>
        <v>0.403387220939184</v>
      </c>
    </row>
    <row r="144" spans="1:26" x14ac:dyDescent="0.15">
      <c r="A144" s="1" t="s">
        <v>164</v>
      </c>
      <c r="B144" s="1" t="s">
        <v>141</v>
      </c>
      <c r="C144" s="1">
        <v>0.410714617</v>
      </c>
      <c r="D144" s="1">
        <v>1.5141857E-2</v>
      </c>
      <c r="F144" s="1">
        <v>456.400102337833</v>
      </c>
      <c r="G144" s="5">
        <v>19.120999999999999</v>
      </c>
      <c r="H144" s="4">
        <v>509.794524888463</v>
      </c>
      <c r="I144" s="4">
        <v>19.011385420536499</v>
      </c>
      <c r="J144" s="1">
        <v>40</v>
      </c>
      <c r="K144" s="1">
        <v>12</v>
      </c>
      <c r="L144" s="7">
        <v>4</v>
      </c>
      <c r="M144" s="1">
        <v>4</v>
      </c>
      <c r="N144" s="1">
        <v>5</v>
      </c>
      <c r="O144" s="4">
        <v>12.408410958904099</v>
      </c>
      <c r="P144" s="4">
        <v>0.57240333586050041</v>
      </c>
      <c r="Q144" s="8">
        <v>157.47999999999999</v>
      </c>
      <c r="R144" s="8">
        <v>19.2</v>
      </c>
      <c r="S144" s="5">
        <v>1.6719999999999999</v>
      </c>
      <c r="T144" s="5">
        <v>0.187</v>
      </c>
      <c r="U144" s="1">
        <v>0</v>
      </c>
      <c r="V144" s="1">
        <v>42.267927999999998</v>
      </c>
      <c r="W144" s="1">
        <v>2.5564293</v>
      </c>
      <c r="X144" s="1">
        <v>0</v>
      </c>
      <c r="Y144" s="1">
        <v>0</v>
      </c>
      <c r="Z144" s="4">
        <f t="shared" si="2"/>
        <v>0.42759666413949959</v>
      </c>
    </row>
    <row r="145" spans="1:26" x14ac:dyDescent="0.15">
      <c r="A145" s="1" t="s">
        <v>165</v>
      </c>
      <c r="B145" s="1" t="s">
        <v>141</v>
      </c>
      <c r="C145" s="1">
        <v>0.24864987299999999</v>
      </c>
      <c r="D145" s="1">
        <v>3.180591E-3</v>
      </c>
      <c r="E145" s="1">
        <v>26.829499999999999</v>
      </c>
      <c r="F145" s="1">
        <v>107.102578545</v>
      </c>
      <c r="G145" s="5">
        <v>13.45</v>
      </c>
      <c r="H145" s="4">
        <v>1464.3666676596999</v>
      </c>
      <c r="I145" s="4">
        <v>188.83792091989201</v>
      </c>
      <c r="J145" s="1">
        <v>80</v>
      </c>
      <c r="K145" s="1">
        <v>14</v>
      </c>
      <c r="L145" s="7">
        <v>6</v>
      </c>
      <c r="M145" s="1">
        <v>9</v>
      </c>
      <c r="N145" s="1">
        <v>6</v>
      </c>
      <c r="O145" s="4">
        <v>16.952616438356198</v>
      </c>
      <c r="P145" s="4">
        <v>0.52990797546012269</v>
      </c>
      <c r="Q145" s="8">
        <v>1205.68</v>
      </c>
      <c r="R145" s="8">
        <v>21.5</v>
      </c>
      <c r="S145" s="5">
        <v>1.0609999999999999</v>
      </c>
      <c r="T145" s="5">
        <v>3.1E-2</v>
      </c>
      <c r="U145" s="1">
        <v>100</v>
      </c>
      <c r="V145" s="1">
        <v>41.835895000000001</v>
      </c>
      <c r="W145" s="1">
        <v>2.9220700000000002</v>
      </c>
      <c r="X145" s="1">
        <v>1</v>
      </c>
      <c r="Y145" s="1">
        <v>0</v>
      </c>
      <c r="Z145" s="4">
        <f t="shared" si="2"/>
        <v>0.47009202453987731</v>
      </c>
    </row>
    <row r="146" spans="1:26" x14ac:dyDescent="0.15">
      <c r="A146" s="1" t="s">
        <v>166</v>
      </c>
      <c r="B146" s="1" t="s">
        <v>141</v>
      </c>
      <c r="E146" s="1">
        <v>2.1911499999999999</v>
      </c>
      <c r="F146" s="1">
        <v>147.80721677612499</v>
      </c>
      <c r="G146" s="5">
        <v>117.636666666667</v>
      </c>
      <c r="H146" s="4">
        <v>858.51711857277701</v>
      </c>
      <c r="I146" s="4">
        <v>1166.43020172709</v>
      </c>
      <c r="J146" s="1">
        <v>20</v>
      </c>
      <c r="K146" s="1">
        <v>13</v>
      </c>
      <c r="L146" s="7">
        <v>6</v>
      </c>
      <c r="M146" s="1">
        <v>5</v>
      </c>
      <c r="N146" s="1">
        <v>5</v>
      </c>
      <c r="O146" s="4">
        <v>16.952616438356198</v>
      </c>
      <c r="P146" s="4">
        <v>0.53940321346595255</v>
      </c>
      <c r="Q146" s="8">
        <v>65.42</v>
      </c>
      <c r="R146" s="8">
        <v>76.599999999999994</v>
      </c>
      <c r="S146" s="5">
        <v>4.0709999999999997</v>
      </c>
      <c r="T146" s="5">
        <v>0.23833333333333301</v>
      </c>
      <c r="U146" s="1">
        <v>75</v>
      </c>
      <c r="V146" s="1">
        <v>41.842303999999999</v>
      </c>
      <c r="W146" s="1">
        <v>2.8775539999999999</v>
      </c>
      <c r="X146" s="1">
        <v>1</v>
      </c>
      <c r="Y146" s="1">
        <v>0</v>
      </c>
      <c r="Z146" s="4">
        <f t="shared" si="2"/>
        <v>0.46059678653404745</v>
      </c>
    </row>
    <row r="147" spans="1:26" x14ac:dyDescent="0.15">
      <c r="A147" s="1" t="s">
        <v>167</v>
      </c>
      <c r="B147" s="1" t="s">
        <v>141</v>
      </c>
      <c r="C147" s="1">
        <v>0.41684780799999999</v>
      </c>
      <c r="D147" s="1">
        <v>3.4966139999999999E-3</v>
      </c>
      <c r="E147" s="1">
        <v>0.77995000000000003</v>
      </c>
      <c r="F147" s="1">
        <v>136.099057235</v>
      </c>
      <c r="G147" s="5">
        <v>30.574999999999999</v>
      </c>
      <c r="H147" s="4">
        <v>630.37385409901799</v>
      </c>
      <c r="I147" s="4">
        <v>1338.8993144677199</v>
      </c>
      <c r="J147" s="1">
        <v>80</v>
      </c>
      <c r="K147" s="1">
        <v>13</v>
      </c>
      <c r="L147" s="7">
        <v>8</v>
      </c>
      <c r="M147" s="1">
        <v>7</v>
      </c>
      <c r="N147" s="1">
        <v>6</v>
      </c>
      <c r="O147" s="4">
        <v>16.952616438356198</v>
      </c>
      <c r="P147" s="4">
        <v>0.54064417177914115</v>
      </c>
      <c r="Q147" s="8">
        <v>504.42</v>
      </c>
      <c r="R147" s="8">
        <v>19.7</v>
      </c>
      <c r="S147" s="5">
        <v>1.667</v>
      </c>
      <c r="T147" s="5">
        <v>6.5000000000000002E-2</v>
      </c>
      <c r="U147" s="1">
        <v>50</v>
      </c>
      <c r="V147" s="1">
        <v>41.869686999999999</v>
      </c>
      <c r="W147" s="1">
        <v>2.895044</v>
      </c>
      <c r="X147" s="1">
        <v>0</v>
      </c>
      <c r="Y147" s="1">
        <v>0</v>
      </c>
      <c r="Z147" s="4">
        <f t="shared" si="2"/>
        <v>0.45935582822085885</v>
      </c>
    </row>
    <row r="148" spans="1:26" x14ac:dyDescent="0.15">
      <c r="A148" s="1" t="s">
        <v>168</v>
      </c>
      <c r="B148" s="1" t="s">
        <v>141</v>
      </c>
      <c r="D148" s="1">
        <v>1.2783272E-2</v>
      </c>
      <c r="E148" s="1">
        <v>1.7766999999999999</v>
      </c>
      <c r="F148" s="1">
        <v>147.07781109575001</v>
      </c>
      <c r="G148" s="5">
        <v>152.815666666667</v>
      </c>
      <c r="H148" s="4">
        <v>1401.6404344851401</v>
      </c>
      <c r="I148" s="4">
        <v>1299.49529693778</v>
      </c>
      <c r="J148" s="1">
        <v>20</v>
      </c>
      <c r="K148" s="1">
        <v>17</v>
      </c>
      <c r="L148" s="7">
        <v>4</v>
      </c>
      <c r="M148" s="1">
        <v>7</v>
      </c>
      <c r="N148" s="1">
        <v>7</v>
      </c>
      <c r="O148" s="4">
        <v>16.952616438356198</v>
      </c>
      <c r="P148" s="4">
        <v>0.52788388082505733</v>
      </c>
      <c r="Q148" s="8">
        <v>551.9</v>
      </c>
      <c r="R148" s="8">
        <v>125.6</v>
      </c>
      <c r="S148" s="5">
        <v>1.58633333333333</v>
      </c>
      <c r="T148" s="5">
        <v>0.11600000000000001</v>
      </c>
      <c r="U148" s="1">
        <v>0</v>
      </c>
      <c r="V148" s="1">
        <v>41.866190000000003</v>
      </c>
      <c r="W148" s="1">
        <v>2.9172229999999999</v>
      </c>
      <c r="X148" s="1">
        <v>0</v>
      </c>
      <c r="Y148" s="1">
        <v>0</v>
      </c>
      <c r="Z148" s="4">
        <f t="shared" si="2"/>
        <v>0.47211611917494267</v>
      </c>
    </row>
    <row r="149" spans="1:26" x14ac:dyDescent="0.15">
      <c r="A149" s="1" t="s">
        <v>169</v>
      </c>
      <c r="B149" s="1" t="s">
        <v>141</v>
      </c>
      <c r="D149" s="1">
        <v>1.3285852000000001E-2</v>
      </c>
      <c r="E149" s="1">
        <v>2.2562666669999998</v>
      </c>
      <c r="F149" s="1">
        <v>283.78124299125</v>
      </c>
      <c r="G149" s="5">
        <v>34.912666666666702</v>
      </c>
      <c r="H149" s="4">
        <v>1827.3247975020799</v>
      </c>
      <c r="I149" s="4">
        <v>2429.9185812279502</v>
      </c>
      <c r="J149" s="1">
        <v>20</v>
      </c>
      <c r="K149" s="1">
        <v>13</v>
      </c>
      <c r="L149" s="7">
        <v>5</v>
      </c>
      <c r="M149" s="1">
        <v>8</v>
      </c>
      <c r="N149" s="1">
        <v>4</v>
      </c>
      <c r="O149" s="4">
        <v>16.952616438356198</v>
      </c>
      <c r="P149" s="4">
        <v>0.5286916602907421</v>
      </c>
      <c r="Q149" s="8">
        <v>126.42</v>
      </c>
      <c r="R149" s="8">
        <v>147.5</v>
      </c>
      <c r="S149" s="5">
        <v>1.1846666666666701</v>
      </c>
      <c r="T149" s="5">
        <v>0.154</v>
      </c>
      <c r="U149" s="1">
        <v>60</v>
      </c>
      <c r="V149" s="1">
        <v>41.873516000000002</v>
      </c>
      <c r="W149" s="1">
        <v>2.9331830000000001</v>
      </c>
      <c r="X149" s="1">
        <v>0</v>
      </c>
      <c r="Y149" s="1">
        <v>0</v>
      </c>
      <c r="Z149" s="4">
        <f t="shared" si="2"/>
        <v>0.4713083397092579</v>
      </c>
    </row>
    <row r="150" spans="1:26" x14ac:dyDescent="0.15">
      <c r="A150" s="1" t="s">
        <v>170</v>
      </c>
      <c r="B150" s="1" t="s">
        <v>141</v>
      </c>
      <c r="F150" s="1">
        <v>15.537105267333301</v>
      </c>
      <c r="G150" s="5">
        <v>14.48</v>
      </c>
      <c r="H150" s="4">
        <v>175.20618017359601</v>
      </c>
      <c r="I150" s="4">
        <v>527.82702511157595</v>
      </c>
      <c r="J150" s="1">
        <v>80</v>
      </c>
      <c r="K150" s="1">
        <v>15</v>
      </c>
      <c r="L150" s="7">
        <v>6</v>
      </c>
      <c r="M150" s="1">
        <v>7</v>
      </c>
      <c r="N150" s="1">
        <v>5</v>
      </c>
      <c r="O150" s="4">
        <v>16.952616438356198</v>
      </c>
      <c r="P150" s="4">
        <v>0.53940321346595255</v>
      </c>
      <c r="Q150" s="8">
        <v>99.4</v>
      </c>
      <c r="R150" s="8">
        <v>26</v>
      </c>
      <c r="S150" s="5">
        <v>1.5660000000000001</v>
      </c>
      <c r="T150" s="5">
        <v>4.2000000000000003E-2</v>
      </c>
      <c r="U150" s="1">
        <v>0</v>
      </c>
      <c r="V150" s="1">
        <v>41.865467000000002</v>
      </c>
      <c r="W150" s="1">
        <v>2.8946200000000002</v>
      </c>
      <c r="X150" s="1">
        <v>0</v>
      </c>
      <c r="Y150" s="1">
        <v>0</v>
      </c>
      <c r="Z150" s="4">
        <f t="shared" si="2"/>
        <v>0.46059678653404745</v>
      </c>
    </row>
    <row r="151" spans="1:26" x14ac:dyDescent="0.15">
      <c r="A151" s="1" t="s">
        <v>171</v>
      </c>
      <c r="B151" s="1" t="s">
        <v>172</v>
      </c>
      <c r="C151" s="1">
        <v>0.64172560494781483</v>
      </c>
      <c r="D151" s="1">
        <v>1.0032291675667075E-2</v>
      </c>
      <c r="G151" s="5">
        <v>4.3899999999999997</v>
      </c>
      <c r="H151" s="4">
        <v>58.170284673698703</v>
      </c>
      <c r="I151" s="6">
        <v>3156.1165594021199</v>
      </c>
      <c r="J151" s="1">
        <v>97.5</v>
      </c>
      <c r="K151" s="1">
        <v>2</v>
      </c>
      <c r="L151" s="7">
        <v>5</v>
      </c>
      <c r="M151" s="1">
        <v>9</v>
      </c>
      <c r="N151" s="1">
        <v>7</v>
      </c>
      <c r="O151" s="4">
        <v>11.4023150684932</v>
      </c>
      <c r="P151" s="4">
        <v>0.3133514986376022</v>
      </c>
      <c r="Q151" s="8">
        <v>12.9</v>
      </c>
      <c r="R151" s="8">
        <v>80</v>
      </c>
      <c r="S151" s="5">
        <v>0.42499999999999999</v>
      </c>
      <c r="T151" s="5">
        <v>0.06</v>
      </c>
      <c r="U151" s="1">
        <v>32</v>
      </c>
      <c r="V151" s="1">
        <v>40.212940000000003</v>
      </c>
      <c r="W151" s="1">
        <v>32.719320000000003</v>
      </c>
      <c r="X151" s="1">
        <v>1</v>
      </c>
      <c r="Y151" s="1">
        <v>0</v>
      </c>
      <c r="Z151" s="4">
        <f t="shared" si="2"/>
        <v>0.68664850136239775</v>
      </c>
    </row>
    <row r="152" spans="1:26" x14ac:dyDescent="0.15">
      <c r="A152" s="1" t="s">
        <v>173</v>
      </c>
      <c r="B152" s="1" t="s">
        <v>172</v>
      </c>
      <c r="C152" s="1">
        <v>0.45414299263491609</v>
      </c>
      <c r="D152" s="1">
        <v>4.3931925502747569E-3</v>
      </c>
      <c r="F152" s="1">
        <v>1045.54524700667</v>
      </c>
      <c r="G152" s="5">
        <v>177.01499999999999</v>
      </c>
      <c r="H152" s="4">
        <v>81.846973468239497</v>
      </c>
      <c r="I152" s="6">
        <v>1146.5130568490099</v>
      </c>
      <c r="J152" s="1">
        <v>33.5</v>
      </c>
      <c r="K152" s="1">
        <v>4</v>
      </c>
      <c r="L152" s="7">
        <v>5</v>
      </c>
      <c r="M152" s="1">
        <v>4</v>
      </c>
      <c r="N152" s="1">
        <v>2</v>
      </c>
      <c r="O152" s="4">
        <v>11.4023150684932</v>
      </c>
      <c r="P152" s="4">
        <v>0.29491525423728815</v>
      </c>
      <c r="Q152" s="8">
        <v>3922</v>
      </c>
      <c r="R152" s="8">
        <v>400</v>
      </c>
      <c r="S152" s="5">
        <v>3.2825000000000002</v>
      </c>
      <c r="T152" s="5">
        <v>0.51166666666666705</v>
      </c>
      <c r="U152" s="1">
        <v>37</v>
      </c>
      <c r="V152" s="1">
        <v>40.14302</v>
      </c>
      <c r="W152" s="1">
        <v>32.634500000000003</v>
      </c>
      <c r="X152" s="1">
        <v>1</v>
      </c>
      <c r="Y152" s="1">
        <v>1</v>
      </c>
      <c r="Z152" s="4">
        <f t="shared" si="2"/>
        <v>0.70508474576271185</v>
      </c>
    </row>
    <row r="153" spans="1:26" x14ac:dyDescent="0.15">
      <c r="A153" s="1" t="s">
        <v>174</v>
      </c>
      <c r="B153" s="1" t="s">
        <v>172</v>
      </c>
      <c r="F153" s="1">
        <v>903.55950176766703</v>
      </c>
      <c r="G153" s="5">
        <v>81.040000000000006</v>
      </c>
      <c r="H153" s="4">
        <v>232.044723808935</v>
      </c>
      <c r="I153" s="6">
        <v>540.49623218748695</v>
      </c>
      <c r="J153" s="1">
        <v>1</v>
      </c>
      <c r="K153" s="1">
        <v>1</v>
      </c>
      <c r="L153" s="7">
        <v>5</v>
      </c>
      <c r="M153" s="1">
        <v>5</v>
      </c>
      <c r="N153" s="1">
        <v>1</v>
      </c>
      <c r="O153" s="4">
        <v>11.4023150684932</v>
      </c>
      <c r="P153" s="4">
        <v>0.29511533242876525</v>
      </c>
      <c r="Q153" s="8">
        <v>10000</v>
      </c>
      <c r="R153" s="8">
        <v>330</v>
      </c>
      <c r="S153" s="5">
        <v>3.0566666666666702</v>
      </c>
      <c r="T153" s="5">
        <v>0.50666666666666704</v>
      </c>
      <c r="U153" s="1">
        <v>30</v>
      </c>
      <c r="V153" s="1">
        <v>40.125720000000001</v>
      </c>
      <c r="W153" s="1">
        <v>32.628740000000001</v>
      </c>
      <c r="X153" s="1">
        <v>1</v>
      </c>
      <c r="Y153" s="1">
        <v>1</v>
      </c>
      <c r="Z153" s="4">
        <f t="shared" si="2"/>
        <v>0.7048846675712348</v>
      </c>
    </row>
    <row r="154" spans="1:26" x14ac:dyDescent="0.15">
      <c r="A154" s="1" t="s">
        <v>175</v>
      </c>
      <c r="B154" s="1" t="s">
        <v>172</v>
      </c>
      <c r="C154" s="1">
        <v>0.42362444277857358</v>
      </c>
      <c r="D154" s="1">
        <v>1.2725795563714098E-2</v>
      </c>
      <c r="F154" s="1">
        <v>29.6232585705833</v>
      </c>
      <c r="G154" s="5">
        <v>8.0566666666666702</v>
      </c>
      <c r="H154" s="4">
        <v>335.29206902918901</v>
      </c>
      <c r="I154" s="6">
        <v>214.18135374527401</v>
      </c>
      <c r="J154" s="1">
        <v>16.600000000000001</v>
      </c>
      <c r="K154" s="1">
        <v>4</v>
      </c>
      <c r="L154" s="7">
        <v>7</v>
      </c>
      <c r="M154" s="1">
        <v>3</v>
      </c>
      <c r="N154" s="1">
        <v>4</v>
      </c>
      <c r="O154" s="4">
        <v>10.9915342465753</v>
      </c>
      <c r="P154" s="4">
        <v>0.315644383184011</v>
      </c>
      <c r="Q154" s="8">
        <v>1120</v>
      </c>
      <c r="R154" s="8">
        <v>180</v>
      </c>
      <c r="S154" s="5">
        <v>1.2466666666666699</v>
      </c>
      <c r="T154" s="5">
        <v>0.24966666666666701</v>
      </c>
      <c r="U154" s="1">
        <v>85</v>
      </c>
      <c r="V154" s="1">
        <v>40.235379999999999</v>
      </c>
      <c r="W154" s="1">
        <v>32.32985</v>
      </c>
      <c r="X154" s="1">
        <v>0</v>
      </c>
      <c r="Y154" s="1">
        <v>1</v>
      </c>
      <c r="Z154" s="4">
        <f t="shared" si="2"/>
        <v>0.684355616815989</v>
      </c>
    </row>
    <row r="155" spans="1:26" x14ac:dyDescent="0.15">
      <c r="A155" s="1" t="s">
        <v>176</v>
      </c>
      <c r="B155" s="1" t="s">
        <v>172</v>
      </c>
      <c r="C155" s="1">
        <v>0.37943992223847556</v>
      </c>
      <c r="D155" s="1">
        <v>1.4776487846043641E-2</v>
      </c>
      <c r="E155" s="1">
        <v>24.31697775</v>
      </c>
      <c r="F155" s="1">
        <v>530.16799544816695</v>
      </c>
      <c r="G155" s="5">
        <v>59.256666666666703</v>
      </c>
      <c r="H155" s="4">
        <v>402.17209306606799</v>
      </c>
      <c r="I155" s="6">
        <v>13657.0489226348</v>
      </c>
      <c r="J155" s="1">
        <v>11.66</v>
      </c>
      <c r="K155" s="1">
        <v>2</v>
      </c>
      <c r="L155" s="7">
        <v>4</v>
      </c>
      <c r="M155" s="1">
        <v>5</v>
      </c>
      <c r="N155" s="1">
        <v>5</v>
      </c>
      <c r="O155" s="4">
        <v>10.9915342465753</v>
      </c>
      <c r="P155" s="4">
        <v>0.30503795721187027</v>
      </c>
      <c r="Q155" s="8">
        <v>2000</v>
      </c>
      <c r="R155" s="8">
        <v>480</v>
      </c>
      <c r="S155" s="5">
        <v>2.46</v>
      </c>
      <c r="T155" s="5">
        <v>0.23833333333333301</v>
      </c>
      <c r="U155" s="1">
        <v>65</v>
      </c>
      <c r="V155" s="1">
        <v>40.230339999999998</v>
      </c>
      <c r="W155" s="1">
        <v>32.286679999999997</v>
      </c>
      <c r="X155" s="1">
        <v>1</v>
      </c>
      <c r="Y155" s="1">
        <v>1</v>
      </c>
      <c r="Z155" s="4">
        <f t="shared" si="2"/>
        <v>0.69496204278812979</v>
      </c>
    </row>
    <row r="156" spans="1:26" x14ac:dyDescent="0.15">
      <c r="A156" s="1" t="s">
        <v>177</v>
      </c>
      <c r="B156" s="1" t="s">
        <v>172</v>
      </c>
      <c r="C156" s="1">
        <v>0.42666706240107943</v>
      </c>
      <c r="F156" s="1">
        <v>229.97989743666699</v>
      </c>
      <c r="G156" s="5">
        <v>65.161666666666704</v>
      </c>
      <c r="H156" s="4">
        <v>62.362694201917797</v>
      </c>
      <c r="I156" s="6">
        <v>2163.8370621947001</v>
      </c>
      <c r="J156" s="1">
        <v>41.66</v>
      </c>
      <c r="K156" s="1">
        <v>3</v>
      </c>
      <c r="L156" s="7">
        <v>6</v>
      </c>
      <c r="M156" s="1">
        <v>4</v>
      </c>
      <c r="N156" s="7">
        <v>7</v>
      </c>
      <c r="O156" s="4">
        <v>10.9915342465753</v>
      </c>
      <c r="P156" s="4">
        <v>0.31434454358270419</v>
      </c>
      <c r="Q156" s="8">
        <v>1000</v>
      </c>
      <c r="R156" s="8">
        <v>180</v>
      </c>
      <c r="S156" s="5">
        <v>2.56</v>
      </c>
      <c r="T156" s="5">
        <v>0.266666666666667</v>
      </c>
      <c r="U156" s="1">
        <v>50</v>
      </c>
      <c r="V156" s="1">
        <v>40.237679999999997</v>
      </c>
      <c r="W156" s="1">
        <v>32.318080000000002</v>
      </c>
      <c r="X156" s="1">
        <v>1</v>
      </c>
      <c r="Y156" s="1">
        <v>1</v>
      </c>
      <c r="Z156" s="4">
        <f t="shared" si="2"/>
        <v>0.68565545641729586</v>
      </c>
    </row>
    <row r="157" spans="1:26" x14ac:dyDescent="0.15">
      <c r="A157" s="1" t="s">
        <v>178</v>
      </c>
      <c r="B157" s="1" t="s">
        <v>172</v>
      </c>
      <c r="F157" s="1">
        <v>0.79038013333333301</v>
      </c>
      <c r="G157" s="5">
        <v>2.74</v>
      </c>
      <c r="H157" s="4">
        <v>159.86812571399699</v>
      </c>
      <c r="I157" s="6">
        <v>7.3442568473112901</v>
      </c>
      <c r="J157" s="1">
        <v>45.83</v>
      </c>
      <c r="K157" s="1">
        <v>1</v>
      </c>
      <c r="L157" s="7">
        <v>8</v>
      </c>
      <c r="M157" s="1">
        <v>2</v>
      </c>
      <c r="N157" s="1">
        <v>4</v>
      </c>
      <c r="O157" s="4">
        <v>10.9915342465753</v>
      </c>
      <c r="P157" s="4">
        <v>0.30332409972299168</v>
      </c>
      <c r="Q157" s="8">
        <v>300</v>
      </c>
      <c r="R157" s="8">
        <v>100</v>
      </c>
      <c r="S157" s="5">
        <v>0.59499999999999997</v>
      </c>
      <c r="T157" s="5">
        <v>0.12</v>
      </c>
      <c r="U157" s="1">
        <v>30</v>
      </c>
      <c r="V157" s="1">
        <v>40.168390000000002</v>
      </c>
      <c r="W157" s="1">
        <v>32.237360000000002</v>
      </c>
      <c r="X157" s="1">
        <v>1</v>
      </c>
      <c r="Y157" s="1">
        <v>0</v>
      </c>
      <c r="Z157" s="4">
        <f t="shared" si="2"/>
        <v>0.69667590027700832</v>
      </c>
    </row>
    <row r="158" spans="1:26" x14ac:dyDescent="0.15">
      <c r="A158" s="1" t="s">
        <v>179</v>
      </c>
      <c r="B158" s="1" t="s">
        <v>172</v>
      </c>
      <c r="C158" s="1">
        <v>0.43148123744229738</v>
      </c>
      <c r="F158" s="1">
        <v>188.51069873500001</v>
      </c>
      <c r="G158" s="5">
        <v>16.112500000000001</v>
      </c>
      <c r="H158" s="4">
        <v>33.019213860780901</v>
      </c>
      <c r="I158" s="6">
        <v>207.956044720422</v>
      </c>
      <c r="J158" s="1">
        <v>20</v>
      </c>
      <c r="K158" s="1">
        <v>5</v>
      </c>
      <c r="L158" s="7">
        <v>5</v>
      </c>
      <c r="M158" s="1">
        <v>7</v>
      </c>
      <c r="N158" s="1">
        <v>3</v>
      </c>
      <c r="O158" s="4">
        <v>10.9915342465753</v>
      </c>
      <c r="P158" s="4">
        <v>0.30332409972299168</v>
      </c>
      <c r="Q158" s="8">
        <v>100</v>
      </c>
      <c r="R158" s="8">
        <v>100</v>
      </c>
      <c r="S158" s="5">
        <v>0.89</v>
      </c>
      <c r="T158" s="5">
        <v>0.435</v>
      </c>
      <c r="U158" s="1">
        <v>39</v>
      </c>
      <c r="V158" s="1">
        <v>40.169060000000002</v>
      </c>
      <c r="W158" s="1">
        <v>32.240029999999997</v>
      </c>
      <c r="X158" s="1">
        <v>0</v>
      </c>
      <c r="Y158" s="1">
        <v>0</v>
      </c>
      <c r="Z158" s="4">
        <f t="shared" si="2"/>
        <v>0.69667590027700832</v>
      </c>
    </row>
    <row r="159" spans="1:26" x14ac:dyDescent="0.15">
      <c r="A159" s="1" t="s">
        <v>180</v>
      </c>
      <c r="B159" s="1" t="s">
        <v>172</v>
      </c>
      <c r="C159" s="1">
        <v>0.52050720650650273</v>
      </c>
      <c r="F159" s="1">
        <v>30.075966401999999</v>
      </c>
      <c r="G159" s="5">
        <v>96.924999999999997</v>
      </c>
      <c r="H159" s="4">
        <v>173.74076191695701</v>
      </c>
      <c r="I159" s="6">
        <v>55.430927344136599</v>
      </c>
      <c r="J159" s="1">
        <v>1</v>
      </c>
      <c r="K159" s="1">
        <v>3</v>
      </c>
      <c r="L159" s="7">
        <v>13</v>
      </c>
      <c r="M159" s="1">
        <v>4</v>
      </c>
      <c r="N159" s="1">
        <v>2</v>
      </c>
      <c r="O159" s="4">
        <v>10.9915342465753</v>
      </c>
      <c r="P159" s="4">
        <v>0.31237042156185213</v>
      </c>
      <c r="Q159" s="8">
        <v>200</v>
      </c>
      <c r="R159" s="8">
        <v>80</v>
      </c>
      <c r="S159" s="5">
        <v>1.7749999999999999</v>
      </c>
      <c r="T159" s="5">
        <v>2.2802500000000001</v>
      </c>
      <c r="U159" s="1">
        <v>50</v>
      </c>
      <c r="V159" s="1">
        <v>40.167560000000002</v>
      </c>
      <c r="W159" s="1">
        <v>32.25112</v>
      </c>
      <c r="X159" s="1">
        <v>0</v>
      </c>
      <c r="Y159" s="1">
        <v>0</v>
      </c>
      <c r="Z159" s="4">
        <f t="shared" si="2"/>
        <v>0.68762957843814787</v>
      </c>
    </row>
    <row r="160" spans="1:26" x14ac:dyDescent="0.15">
      <c r="A160" s="1" t="s">
        <v>181</v>
      </c>
      <c r="B160" s="1" t="s">
        <v>172</v>
      </c>
      <c r="F160" s="1">
        <v>931.32583144133298</v>
      </c>
      <c r="G160" s="5">
        <v>149.73500000000001</v>
      </c>
      <c r="H160" s="4">
        <v>1.7558984004131699</v>
      </c>
      <c r="I160" s="6">
        <v>202.09225756091001</v>
      </c>
      <c r="J160" s="1">
        <v>22</v>
      </c>
      <c r="K160" s="1">
        <v>1</v>
      </c>
      <c r="L160" s="7">
        <v>5</v>
      </c>
      <c r="M160" s="1">
        <v>4</v>
      </c>
      <c r="N160" s="1">
        <v>2</v>
      </c>
      <c r="O160" s="4">
        <v>10.9915342465753</v>
      </c>
      <c r="P160" s="4">
        <v>0.31715652768284347</v>
      </c>
      <c r="Q160" s="8">
        <v>500</v>
      </c>
      <c r="R160" s="8">
        <v>50</v>
      </c>
      <c r="S160" s="5">
        <v>1.1483333333333301</v>
      </c>
      <c r="T160" s="5">
        <v>0.27663333333333301</v>
      </c>
      <c r="U160" s="1">
        <v>1</v>
      </c>
      <c r="V160" s="1">
        <v>40.268079999999998</v>
      </c>
      <c r="W160" s="1">
        <v>32.338099999999997</v>
      </c>
      <c r="X160" s="1">
        <v>1</v>
      </c>
      <c r="Y160" s="1">
        <v>0</v>
      </c>
      <c r="Z160" s="4">
        <f t="shared" si="2"/>
        <v>0.68284347231715659</v>
      </c>
    </row>
    <row r="161" spans="1:26" x14ac:dyDescent="0.15">
      <c r="A161" s="1" t="s">
        <v>182</v>
      </c>
      <c r="B161" s="1" t="s">
        <v>172</v>
      </c>
      <c r="C161" s="1">
        <v>0.50591392868522567</v>
      </c>
      <c r="D161" s="1">
        <v>5.0711053944732104E-3</v>
      </c>
      <c r="E161" s="1">
        <v>3.778</v>
      </c>
      <c r="F161" s="1">
        <v>871.94830918583295</v>
      </c>
      <c r="G161" s="5">
        <v>99.401666666666699</v>
      </c>
      <c r="H161" s="4">
        <v>840.54022568266601</v>
      </c>
      <c r="I161" s="6">
        <v>3223.3011229358999</v>
      </c>
      <c r="J161" s="1">
        <v>87.14</v>
      </c>
      <c r="K161" s="1">
        <v>9</v>
      </c>
      <c r="L161" s="7">
        <v>5</v>
      </c>
      <c r="M161" s="1">
        <v>10</v>
      </c>
      <c r="N161" s="1">
        <v>5</v>
      </c>
      <c r="O161" s="4">
        <v>11.345342465753401</v>
      </c>
      <c r="P161" s="4">
        <v>0.3789004457652303</v>
      </c>
      <c r="Q161" s="8">
        <v>10000</v>
      </c>
      <c r="R161" s="8">
        <v>250</v>
      </c>
      <c r="S161" s="5">
        <v>2.0249999999999999</v>
      </c>
      <c r="T161" s="5">
        <v>0.44666666666666699</v>
      </c>
      <c r="U161" s="1">
        <v>10</v>
      </c>
      <c r="V161" s="1">
        <v>40.349649999999997</v>
      </c>
      <c r="W161" s="1">
        <v>32.37968</v>
      </c>
      <c r="X161" s="1">
        <v>0</v>
      </c>
      <c r="Y161" s="1">
        <v>1</v>
      </c>
      <c r="Z161" s="4">
        <f t="shared" si="2"/>
        <v>0.6210995542347697</v>
      </c>
    </row>
    <row r="162" spans="1:26" x14ac:dyDescent="0.15">
      <c r="A162" s="1" t="s">
        <v>183</v>
      </c>
      <c r="B162" s="1" t="s">
        <v>172</v>
      </c>
      <c r="F162" s="1">
        <v>54.916625004499998</v>
      </c>
      <c r="G162" s="5">
        <v>4.7983333333333302</v>
      </c>
      <c r="H162" s="4">
        <v>104.33999137207999</v>
      </c>
      <c r="I162" s="6">
        <v>634.50948497485001</v>
      </c>
      <c r="J162" s="1">
        <v>1</v>
      </c>
      <c r="K162" s="1">
        <v>2</v>
      </c>
      <c r="L162" s="7">
        <v>6</v>
      </c>
      <c r="M162" s="1">
        <v>6</v>
      </c>
      <c r="N162" s="1">
        <v>1</v>
      </c>
      <c r="O162" s="4">
        <v>11.4023150684932</v>
      </c>
      <c r="P162" s="4">
        <v>0.3133514986376022</v>
      </c>
      <c r="Q162" s="8">
        <v>200</v>
      </c>
      <c r="R162" s="8">
        <v>140</v>
      </c>
      <c r="S162" s="5">
        <v>0.543333333333333</v>
      </c>
      <c r="T162" s="5">
        <v>4.6666666666666697E-2</v>
      </c>
      <c r="U162" s="1">
        <v>45</v>
      </c>
      <c r="V162" s="1">
        <v>40.212789999999998</v>
      </c>
      <c r="W162" s="1">
        <v>32.719569999999997</v>
      </c>
      <c r="X162" s="1">
        <v>1</v>
      </c>
      <c r="Y162" s="1">
        <v>1</v>
      </c>
      <c r="Z162" s="4">
        <f t="shared" si="2"/>
        <v>0.68664850136239775</v>
      </c>
    </row>
    <row r="163" spans="1:26" x14ac:dyDescent="0.15">
      <c r="A163" s="1" t="s">
        <v>184</v>
      </c>
      <c r="B163" s="1" t="s">
        <v>172</v>
      </c>
      <c r="F163" s="1">
        <v>65.398415858000007</v>
      </c>
      <c r="G163" s="5">
        <v>15.733333333333301</v>
      </c>
      <c r="H163" s="4">
        <v>1377.1184407616799</v>
      </c>
      <c r="I163" s="6">
        <v>4.7658724144087703</v>
      </c>
      <c r="J163" s="1">
        <v>5.33</v>
      </c>
      <c r="K163" s="1">
        <v>2</v>
      </c>
      <c r="L163" s="7">
        <v>4</v>
      </c>
      <c r="M163" s="1">
        <v>2</v>
      </c>
      <c r="N163" s="1">
        <v>7</v>
      </c>
      <c r="O163" s="4">
        <v>10.9915342465753</v>
      </c>
      <c r="P163" s="4">
        <v>0.33121468926553671</v>
      </c>
      <c r="Q163" s="8">
        <v>657</v>
      </c>
      <c r="R163" s="8">
        <v>100</v>
      </c>
      <c r="S163" s="5">
        <v>0.77166666666666694</v>
      </c>
      <c r="T163" s="5">
        <v>0.11</v>
      </c>
      <c r="U163" s="1">
        <v>55</v>
      </c>
      <c r="V163" s="1">
        <v>40.284480000000002</v>
      </c>
      <c r="W163" s="1">
        <v>32.267270000000003</v>
      </c>
      <c r="X163" s="1">
        <v>1</v>
      </c>
      <c r="Y163" s="1">
        <v>1</v>
      </c>
      <c r="Z163" s="4">
        <f t="shared" si="2"/>
        <v>0.66878531073446323</v>
      </c>
    </row>
    <row r="164" spans="1:26" x14ac:dyDescent="0.15">
      <c r="A164" s="1" t="s">
        <v>185</v>
      </c>
      <c r="B164" s="1" t="s">
        <v>172</v>
      </c>
      <c r="F164" s="1">
        <v>10.794266525999999</v>
      </c>
      <c r="G164" s="5">
        <v>67.59</v>
      </c>
      <c r="H164" s="4">
        <v>125.946011722029</v>
      </c>
      <c r="I164" s="6">
        <v>2785.9678649923899</v>
      </c>
      <c r="J164" s="1">
        <v>7.33</v>
      </c>
      <c r="K164" s="1">
        <v>6</v>
      </c>
      <c r="L164" s="7">
        <v>5</v>
      </c>
      <c r="M164" s="1">
        <v>6</v>
      </c>
      <c r="N164" s="1">
        <v>5</v>
      </c>
      <c r="O164" s="4">
        <v>10.9915342465753</v>
      </c>
      <c r="P164" s="4">
        <v>0.3305728088336784</v>
      </c>
      <c r="Q164" s="8">
        <v>100</v>
      </c>
      <c r="R164" s="8">
        <v>80</v>
      </c>
      <c r="S164" s="5">
        <v>1.1725000000000001</v>
      </c>
      <c r="T164" s="5">
        <v>0.40525</v>
      </c>
      <c r="U164" s="1">
        <v>33</v>
      </c>
      <c r="V164" s="1">
        <v>40.256860000000003</v>
      </c>
      <c r="W164" s="1">
        <v>32.193269999999998</v>
      </c>
      <c r="X164" s="1">
        <v>1</v>
      </c>
      <c r="Y164" s="1">
        <v>0</v>
      </c>
      <c r="Z164" s="4">
        <f t="shared" si="2"/>
        <v>0.66942719116632166</v>
      </c>
    </row>
    <row r="165" spans="1:26" x14ac:dyDescent="0.15">
      <c r="A165" s="1" t="s">
        <v>186</v>
      </c>
      <c r="B165" s="1" t="s">
        <v>172</v>
      </c>
      <c r="C165" s="1">
        <v>0.45960862087108012</v>
      </c>
      <c r="D165" s="1">
        <v>6.1666264309223305E-3</v>
      </c>
      <c r="E165" s="1">
        <v>3.944</v>
      </c>
      <c r="F165" s="1">
        <v>749.277790793333</v>
      </c>
      <c r="G165" s="5">
        <v>102.346</v>
      </c>
      <c r="H165" s="4">
        <v>183.360178761291</v>
      </c>
      <c r="I165" s="6">
        <v>1149.53742002575</v>
      </c>
      <c r="J165" s="1">
        <v>87.5</v>
      </c>
      <c r="K165" s="1">
        <v>4</v>
      </c>
      <c r="L165" s="7">
        <v>4</v>
      </c>
      <c r="M165" s="1">
        <v>8</v>
      </c>
      <c r="N165" s="1">
        <v>4</v>
      </c>
      <c r="O165" s="4">
        <v>10.9915342465753</v>
      </c>
      <c r="P165" s="4">
        <v>0.33425797503467408</v>
      </c>
      <c r="Q165" s="8">
        <v>1000</v>
      </c>
      <c r="R165" s="8">
        <v>150</v>
      </c>
      <c r="S165" s="5">
        <v>2.1366666666666698</v>
      </c>
      <c r="T165" s="5">
        <v>0.5383</v>
      </c>
      <c r="U165" s="1">
        <v>50</v>
      </c>
      <c r="V165" s="1">
        <v>40.253799999999998</v>
      </c>
      <c r="W165" s="1">
        <v>32.217970000000001</v>
      </c>
      <c r="X165" s="1">
        <v>0</v>
      </c>
      <c r="Y165" s="1">
        <v>1</v>
      </c>
      <c r="Z165" s="4">
        <f t="shared" si="2"/>
        <v>0.66574202496532586</v>
      </c>
    </row>
    <row r="166" spans="1:26" x14ac:dyDescent="0.15">
      <c r="A166" s="1" t="s">
        <v>187</v>
      </c>
      <c r="B166" s="1" t="s">
        <v>172</v>
      </c>
      <c r="C166" s="1">
        <v>0.44043771863966008</v>
      </c>
      <c r="D166" s="1">
        <v>6.213613775141888E-3</v>
      </c>
      <c r="F166" s="1">
        <v>516.68019928224999</v>
      </c>
      <c r="G166" s="5">
        <v>36.716666666666697</v>
      </c>
      <c r="H166" s="4">
        <v>102.05484690242901</v>
      </c>
      <c r="I166" s="6">
        <v>3423.50465695312</v>
      </c>
      <c r="J166" s="1">
        <v>92.5</v>
      </c>
      <c r="K166" s="1">
        <v>2</v>
      </c>
      <c r="L166" s="7">
        <v>5</v>
      </c>
      <c r="M166" s="1">
        <v>10</v>
      </c>
      <c r="N166" s="1">
        <v>5</v>
      </c>
      <c r="O166" s="4">
        <v>10.9915342465753</v>
      </c>
      <c r="P166" s="4">
        <v>0.33425797503467408</v>
      </c>
      <c r="Q166" s="8">
        <v>3000</v>
      </c>
      <c r="R166" s="8">
        <v>200</v>
      </c>
      <c r="S166" s="5">
        <v>1.61666666666667</v>
      </c>
      <c r="T166" s="5">
        <v>0.255</v>
      </c>
      <c r="U166" s="1">
        <v>45</v>
      </c>
      <c r="V166" s="1">
        <v>40.253729999999997</v>
      </c>
      <c r="W166" s="1">
        <v>32.220140000000001</v>
      </c>
      <c r="X166" s="1">
        <v>1</v>
      </c>
      <c r="Y166" s="1">
        <v>1</v>
      </c>
      <c r="Z166" s="4">
        <f t="shared" si="2"/>
        <v>0.66574202496532586</v>
      </c>
    </row>
    <row r="167" spans="1:26" x14ac:dyDescent="0.15">
      <c r="A167" s="1" t="s">
        <v>188</v>
      </c>
      <c r="B167" s="1" t="s">
        <v>172</v>
      </c>
      <c r="C167" s="1">
        <v>0.42539625752868171</v>
      </c>
      <c r="D167" s="1">
        <v>1.191501042943615E-2</v>
      </c>
      <c r="F167" s="1">
        <v>437.99975230266699</v>
      </c>
      <c r="G167" s="5">
        <v>44.8466666666667</v>
      </c>
      <c r="H167" s="4">
        <v>296.84555214846</v>
      </c>
      <c r="I167" s="6">
        <v>514.951591817637</v>
      </c>
      <c r="J167" s="1">
        <v>95</v>
      </c>
      <c r="K167" s="1">
        <v>5</v>
      </c>
      <c r="L167" s="7">
        <v>4</v>
      </c>
      <c r="M167" s="1">
        <v>7</v>
      </c>
      <c r="N167" s="1">
        <v>4</v>
      </c>
      <c r="O167" s="4">
        <v>10.9915342465753</v>
      </c>
      <c r="P167" s="4">
        <v>0.30753282653766412</v>
      </c>
      <c r="Q167" s="8">
        <v>1000</v>
      </c>
      <c r="R167" s="8">
        <v>200</v>
      </c>
      <c r="S167" s="5">
        <v>1.83</v>
      </c>
      <c r="T167" s="5">
        <v>0.4335</v>
      </c>
      <c r="U167" s="1">
        <v>65</v>
      </c>
      <c r="V167" s="1">
        <v>40.236969999999999</v>
      </c>
      <c r="W167" s="1">
        <v>32.242699999999999</v>
      </c>
      <c r="X167" s="1">
        <v>0</v>
      </c>
      <c r="Y167" s="1">
        <v>1</v>
      </c>
      <c r="Z167" s="4">
        <f t="shared" si="2"/>
        <v>0.69246717346233588</v>
      </c>
    </row>
    <row r="168" spans="1:26" x14ac:dyDescent="0.15">
      <c r="A168" s="1" t="s">
        <v>189</v>
      </c>
      <c r="B168" s="1" t="s">
        <v>172</v>
      </c>
      <c r="F168" s="1">
        <v>566.358606829</v>
      </c>
      <c r="G168" s="5">
        <v>81.468333333333305</v>
      </c>
      <c r="H168" s="4">
        <v>28.312068379963101</v>
      </c>
      <c r="I168" s="6">
        <v>236.109596045704</v>
      </c>
      <c r="J168" s="1">
        <v>41.5</v>
      </c>
      <c r="K168" s="1">
        <v>5</v>
      </c>
      <c r="L168" s="7">
        <v>4</v>
      </c>
      <c r="M168" s="1">
        <v>5</v>
      </c>
      <c r="N168" s="1">
        <v>2</v>
      </c>
      <c r="O168" s="4">
        <v>10.9915342465753</v>
      </c>
      <c r="P168" s="4">
        <v>0.33402633402633403</v>
      </c>
      <c r="Q168" s="8">
        <v>5000</v>
      </c>
      <c r="R168" s="8">
        <v>490</v>
      </c>
      <c r="S168" s="5">
        <v>1.26</v>
      </c>
      <c r="T168" s="5">
        <v>8.6666666666666697E-2</v>
      </c>
      <c r="U168" s="1">
        <v>20</v>
      </c>
      <c r="V168" s="1">
        <v>40.258980000000001</v>
      </c>
      <c r="W168" s="1">
        <v>32.228459999999998</v>
      </c>
      <c r="X168" s="1">
        <v>1</v>
      </c>
      <c r="Y168" s="1">
        <v>1</v>
      </c>
      <c r="Z168" s="4">
        <f t="shared" si="2"/>
        <v>0.66597366597366592</v>
      </c>
    </row>
    <row r="169" spans="1:26" x14ac:dyDescent="0.15">
      <c r="A169" s="1" t="s">
        <v>190</v>
      </c>
      <c r="B169" s="1" t="s">
        <v>172</v>
      </c>
      <c r="C169" s="1">
        <v>0.41042855956460678</v>
      </c>
      <c r="D169" s="1">
        <v>8.4826713143186221E-3</v>
      </c>
      <c r="E169" s="1">
        <v>2.5590000000000002</v>
      </c>
      <c r="F169" s="1">
        <v>115.07690913825</v>
      </c>
      <c r="G169" s="5">
        <v>22.886666666666699</v>
      </c>
      <c r="H169" s="4">
        <v>4.1384812087375096</v>
      </c>
      <c r="I169" s="6">
        <v>746.14640361616796</v>
      </c>
      <c r="J169" s="1">
        <v>46.66</v>
      </c>
      <c r="K169" s="1">
        <v>2</v>
      </c>
      <c r="L169" s="7">
        <v>5</v>
      </c>
      <c r="M169" s="1">
        <v>10</v>
      </c>
      <c r="N169" s="1">
        <v>2</v>
      </c>
      <c r="O169" s="4">
        <v>10.9915342465753</v>
      </c>
      <c r="P169" s="4">
        <v>0.33448993754337264</v>
      </c>
      <c r="Q169" s="8">
        <v>1000</v>
      </c>
      <c r="R169" s="8">
        <v>150</v>
      </c>
      <c r="S169" s="5">
        <v>1.3483333333333301</v>
      </c>
      <c r="T169" s="5">
        <v>0.24666666666666701</v>
      </c>
      <c r="U169" s="1">
        <v>5</v>
      </c>
      <c r="V169" s="1">
        <v>40.27608</v>
      </c>
      <c r="W169" s="1">
        <v>32.228859999999997</v>
      </c>
      <c r="X169" s="1">
        <v>0</v>
      </c>
      <c r="Y169" s="1">
        <v>1</v>
      </c>
      <c r="Z169" s="4">
        <f t="shared" si="2"/>
        <v>0.66551006245662736</v>
      </c>
    </row>
    <row r="170" spans="1:26" x14ac:dyDescent="0.15">
      <c r="A170" s="1" t="s">
        <v>191</v>
      </c>
      <c r="B170" s="1" t="s">
        <v>172</v>
      </c>
      <c r="E170" s="1">
        <v>3.7250000000000001</v>
      </c>
      <c r="F170" s="1">
        <v>95.499559579999996</v>
      </c>
      <c r="G170" s="5">
        <v>11.805</v>
      </c>
      <c r="H170" s="4">
        <v>242.611755835747</v>
      </c>
      <c r="I170" s="6">
        <v>7676.9615663573904</v>
      </c>
      <c r="J170" s="1">
        <v>38.54</v>
      </c>
      <c r="K170" s="1">
        <v>14</v>
      </c>
      <c r="L170" s="7">
        <v>6</v>
      </c>
      <c r="M170" s="1">
        <v>5</v>
      </c>
      <c r="N170" s="1">
        <v>4</v>
      </c>
      <c r="O170" s="4">
        <v>10.9915342465753</v>
      </c>
      <c r="P170" s="4">
        <v>0.39320754716981132</v>
      </c>
      <c r="Q170" s="8">
        <v>562</v>
      </c>
      <c r="R170" s="8">
        <v>50</v>
      </c>
      <c r="S170" s="5">
        <v>1.085</v>
      </c>
      <c r="T170" s="5">
        <v>0.11</v>
      </c>
      <c r="U170" s="1">
        <v>55</v>
      </c>
      <c r="V170" s="1">
        <v>40.368020000000001</v>
      </c>
      <c r="W170" s="1">
        <v>32.291649999999997</v>
      </c>
      <c r="X170" s="1">
        <v>1</v>
      </c>
      <c r="Y170" s="1">
        <v>0</v>
      </c>
      <c r="Z170" s="4">
        <f t="shared" si="2"/>
        <v>0.60679245283018868</v>
      </c>
    </row>
    <row r="171" spans="1:26" x14ac:dyDescent="0.15">
      <c r="A171" s="1" t="s">
        <v>192</v>
      </c>
      <c r="B171" s="1" t="s">
        <v>172</v>
      </c>
      <c r="E171" s="1">
        <v>18.623999999999999</v>
      </c>
      <c r="F171" s="1">
        <v>974.34270321966699</v>
      </c>
      <c r="G171" s="5">
        <v>68.206666666666706</v>
      </c>
      <c r="H171" s="4">
        <v>45.719219301552997</v>
      </c>
      <c r="I171" s="6">
        <v>748.61754752616298</v>
      </c>
      <c r="J171" s="1">
        <v>69.83</v>
      </c>
      <c r="K171" s="1">
        <v>11</v>
      </c>
      <c r="L171" s="7">
        <v>4</v>
      </c>
      <c r="M171" s="1">
        <v>9</v>
      </c>
      <c r="N171" s="1">
        <v>1</v>
      </c>
      <c r="O171" s="4">
        <v>10.9915342465753</v>
      </c>
      <c r="P171" s="4">
        <v>0.41798107255520506</v>
      </c>
      <c r="Q171" s="8">
        <v>25.6</v>
      </c>
      <c r="R171" s="8">
        <v>50</v>
      </c>
      <c r="S171" s="5">
        <v>1.3483333333333301</v>
      </c>
      <c r="T171" s="5">
        <v>0.34499999999999997</v>
      </c>
      <c r="U171" s="1">
        <v>20</v>
      </c>
      <c r="V171" s="1">
        <v>40.338290000000001</v>
      </c>
      <c r="W171" s="1">
        <v>32.23019</v>
      </c>
      <c r="X171" s="1">
        <v>1</v>
      </c>
      <c r="Y171" s="1">
        <v>1</v>
      </c>
      <c r="Z171" s="4">
        <f t="shared" si="2"/>
        <v>0.58201892744479489</v>
      </c>
    </row>
    <row r="172" spans="1:26" x14ac:dyDescent="0.15">
      <c r="A172" s="1" t="s">
        <v>193</v>
      </c>
      <c r="B172" s="1" t="s">
        <v>172</v>
      </c>
      <c r="F172" s="1">
        <v>96.842416915666703</v>
      </c>
      <c r="G172" s="5">
        <v>44.93</v>
      </c>
      <c r="H172" s="4">
        <v>291.865081797637</v>
      </c>
      <c r="I172" s="6">
        <v>2152.3944325694501</v>
      </c>
      <c r="J172" s="1">
        <v>100</v>
      </c>
      <c r="K172" s="1">
        <v>3</v>
      </c>
      <c r="L172" s="7">
        <v>8</v>
      </c>
      <c r="M172" s="1">
        <v>5</v>
      </c>
      <c r="N172" s="1">
        <v>1</v>
      </c>
      <c r="O172" s="4">
        <v>11.4023150684932</v>
      </c>
      <c r="P172" s="4">
        <v>0.3133514986376022</v>
      </c>
      <c r="Q172" s="8">
        <v>500</v>
      </c>
      <c r="R172" s="8">
        <v>140</v>
      </c>
      <c r="S172" s="5">
        <v>0.91500000000000004</v>
      </c>
      <c r="T172" s="5">
        <v>0.103333333333333</v>
      </c>
      <c r="U172" s="1">
        <v>30</v>
      </c>
      <c r="V172" s="1">
        <v>40.212739999999997</v>
      </c>
      <c r="W172" s="1">
        <v>32.719709999999999</v>
      </c>
      <c r="X172" s="1">
        <v>1</v>
      </c>
      <c r="Y172" s="1">
        <v>1</v>
      </c>
      <c r="Z172" s="4">
        <f t="shared" si="2"/>
        <v>0.68664850136239775</v>
      </c>
    </row>
    <row r="173" spans="1:26" x14ac:dyDescent="0.15">
      <c r="A173" s="1" t="s">
        <v>194</v>
      </c>
      <c r="B173" s="1" t="s">
        <v>172</v>
      </c>
      <c r="E173" s="1">
        <v>10.913</v>
      </c>
      <c r="F173" s="1">
        <v>1003.75096526333</v>
      </c>
      <c r="G173" s="5">
        <v>185.37</v>
      </c>
      <c r="H173" s="4">
        <v>3.0748699594239</v>
      </c>
      <c r="I173" s="6">
        <v>2486.9200483023701</v>
      </c>
      <c r="J173" s="1">
        <v>19.28</v>
      </c>
      <c r="K173" s="1">
        <v>8</v>
      </c>
      <c r="L173" s="7">
        <v>4</v>
      </c>
      <c r="M173" s="1">
        <v>8</v>
      </c>
      <c r="N173" s="1">
        <v>1</v>
      </c>
      <c r="O173" s="4">
        <v>10.9915342465753</v>
      </c>
      <c r="P173" s="4">
        <v>0.41798107255520506</v>
      </c>
      <c r="Q173" s="8">
        <v>100</v>
      </c>
      <c r="R173" s="8">
        <v>80</v>
      </c>
      <c r="S173" s="5">
        <v>1.7266666666666699</v>
      </c>
      <c r="T173" s="5">
        <v>0.86</v>
      </c>
      <c r="U173" s="1">
        <v>20</v>
      </c>
      <c r="V173" s="1">
        <v>40.338360000000002</v>
      </c>
      <c r="W173" s="1">
        <v>32.229939999999999</v>
      </c>
      <c r="X173" s="1">
        <v>1</v>
      </c>
      <c r="Y173" s="1">
        <v>1</v>
      </c>
      <c r="Z173" s="4">
        <f t="shared" si="2"/>
        <v>0.58201892744479489</v>
      </c>
    </row>
    <row r="174" spans="1:26" x14ac:dyDescent="0.15">
      <c r="A174" s="1" t="s">
        <v>195</v>
      </c>
      <c r="B174" s="1" t="s">
        <v>172</v>
      </c>
      <c r="F174" s="1">
        <v>2.5995352187499998</v>
      </c>
      <c r="G174" s="5">
        <v>6.16</v>
      </c>
      <c r="H174" s="4">
        <v>163.263743804515</v>
      </c>
      <c r="I174" s="6">
        <v>1552.9893602203799</v>
      </c>
      <c r="J174" s="1">
        <v>20</v>
      </c>
      <c r="K174" s="1">
        <v>5</v>
      </c>
      <c r="L174" s="7">
        <v>7</v>
      </c>
      <c r="M174" s="1">
        <v>2</v>
      </c>
      <c r="N174" s="1">
        <v>3</v>
      </c>
      <c r="O174" s="4">
        <v>11.4023150684932</v>
      </c>
      <c r="P174" s="4">
        <v>0.3133514986376022</v>
      </c>
      <c r="Q174" s="8">
        <v>4000</v>
      </c>
      <c r="R174" s="8">
        <v>530</v>
      </c>
      <c r="S174" s="5">
        <v>0.52666666666666695</v>
      </c>
      <c r="T174" s="5">
        <v>5.3333333333333302E-2</v>
      </c>
      <c r="U174" s="1">
        <v>35</v>
      </c>
      <c r="V174" s="1">
        <v>40.211930000000002</v>
      </c>
      <c r="W174" s="1">
        <v>32.720889999999997</v>
      </c>
      <c r="X174" s="1">
        <v>1</v>
      </c>
      <c r="Y174" s="1">
        <v>1</v>
      </c>
      <c r="Z174" s="4">
        <f t="shared" si="2"/>
        <v>0.68664850136239775</v>
      </c>
    </row>
    <row r="175" spans="1:26" x14ac:dyDescent="0.15">
      <c r="A175" s="1" t="s">
        <v>196</v>
      </c>
      <c r="B175" s="1" t="s">
        <v>172</v>
      </c>
      <c r="F175" s="1">
        <v>772.15985793666698</v>
      </c>
      <c r="G175" s="5">
        <v>27.815000000000001</v>
      </c>
      <c r="H175" s="4">
        <v>242.10348309832801</v>
      </c>
      <c r="I175" s="6">
        <v>2355.9652471129698</v>
      </c>
      <c r="J175" s="1">
        <v>100</v>
      </c>
      <c r="K175" s="1">
        <v>5</v>
      </c>
      <c r="L175" s="7">
        <v>7</v>
      </c>
      <c r="M175" s="1">
        <v>10</v>
      </c>
      <c r="N175" s="1">
        <v>3</v>
      </c>
      <c r="O175" s="4">
        <v>11.4023150684932</v>
      </c>
      <c r="P175" s="4">
        <v>0.3133514986376022</v>
      </c>
      <c r="Q175" s="8">
        <v>17.600000000000001</v>
      </c>
      <c r="R175" s="8">
        <v>100</v>
      </c>
      <c r="S175" s="5">
        <v>1.145</v>
      </c>
      <c r="T175" s="5">
        <v>0.22500000000000001</v>
      </c>
      <c r="U175" s="1">
        <v>30</v>
      </c>
      <c r="V175" s="1">
        <v>40.215049999999998</v>
      </c>
      <c r="W175" s="1">
        <v>32.718589999999999</v>
      </c>
      <c r="X175" s="1">
        <v>1</v>
      </c>
      <c r="Y175" s="1">
        <v>0</v>
      </c>
      <c r="Z175" s="4">
        <f t="shared" si="2"/>
        <v>0.68664850136239775</v>
      </c>
    </row>
    <row r="176" spans="1:26" x14ac:dyDescent="0.15">
      <c r="A176" s="1" t="s">
        <v>197</v>
      </c>
      <c r="B176" s="1" t="s">
        <v>172</v>
      </c>
      <c r="C176" s="1">
        <v>0.48591547786389921</v>
      </c>
      <c r="D176" s="1">
        <v>8.0297547150444751E-3</v>
      </c>
      <c r="F176" s="1">
        <v>210.506340617067</v>
      </c>
      <c r="G176" s="5">
        <v>45.69</v>
      </c>
      <c r="H176" s="4">
        <v>218.496599052314</v>
      </c>
      <c r="I176" s="6">
        <v>625.17646270059595</v>
      </c>
      <c r="J176" s="1">
        <v>81.25</v>
      </c>
      <c r="K176" s="1">
        <v>5</v>
      </c>
      <c r="L176" s="7">
        <v>9</v>
      </c>
      <c r="M176" s="1">
        <v>7</v>
      </c>
      <c r="N176" s="1">
        <v>2</v>
      </c>
      <c r="O176" s="4">
        <v>11.4023150684932</v>
      </c>
      <c r="P176" s="4">
        <v>0.3133514986376022</v>
      </c>
      <c r="Q176" s="8">
        <v>700</v>
      </c>
      <c r="R176" s="8">
        <v>450</v>
      </c>
      <c r="S176" s="5">
        <v>3.68</v>
      </c>
      <c r="T176" s="5">
        <v>7.0000000000000007E-2</v>
      </c>
      <c r="U176" s="1">
        <v>85</v>
      </c>
      <c r="V176" s="1">
        <v>40.216340000000002</v>
      </c>
      <c r="W176" s="1">
        <v>32.721139999999998</v>
      </c>
      <c r="X176" s="1">
        <v>1</v>
      </c>
      <c r="Y176" s="1">
        <v>1</v>
      </c>
      <c r="Z176" s="4">
        <f t="shared" si="2"/>
        <v>0.68664850136239775</v>
      </c>
    </row>
    <row r="177" spans="1:26" x14ac:dyDescent="0.15">
      <c r="A177" s="1" t="s">
        <v>198</v>
      </c>
      <c r="B177" s="1" t="s">
        <v>172</v>
      </c>
      <c r="C177" s="1">
        <v>0.52813653111616943</v>
      </c>
      <c r="D177" s="1">
        <v>5.3720513279832622E-3</v>
      </c>
      <c r="F177" s="1">
        <v>172.01110394426701</v>
      </c>
      <c r="G177" s="5">
        <v>37.686666666666703</v>
      </c>
      <c r="H177" s="4">
        <v>38.007044587142801</v>
      </c>
      <c r="I177" s="6">
        <v>13943.6932890476</v>
      </c>
      <c r="J177" s="1">
        <v>62.77</v>
      </c>
      <c r="K177" s="1">
        <v>4</v>
      </c>
      <c r="L177" s="7">
        <v>7</v>
      </c>
      <c r="M177" s="1">
        <v>4</v>
      </c>
      <c r="N177" s="1">
        <v>1</v>
      </c>
      <c r="O177" s="4">
        <v>11.4023150684932</v>
      </c>
      <c r="P177" s="4">
        <v>0.3133514986376022</v>
      </c>
      <c r="Q177" s="8">
        <v>3317</v>
      </c>
      <c r="R177" s="8">
        <v>460</v>
      </c>
      <c r="S177" s="5">
        <v>0.99333333333333296</v>
      </c>
      <c r="T177" s="5">
        <v>0.14000000000000001</v>
      </c>
      <c r="U177" s="1">
        <v>52</v>
      </c>
      <c r="V177" s="1">
        <v>40.213619999999999</v>
      </c>
      <c r="W177" s="1">
        <v>32.727809999999998</v>
      </c>
      <c r="X177" s="1">
        <v>1</v>
      </c>
      <c r="Y177" s="1">
        <v>1</v>
      </c>
      <c r="Z177" s="4">
        <f t="shared" si="2"/>
        <v>0.68664850136239775</v>
      </c>
    </row>
    <row r="178" spans="1:26" x14ac:dyDescent="0.15">
      <c r="A178" s="1" t="s">
        <v>199</v>
      </c>
      <c r="B178" s="1" t="s">
        <v>172</v>
      </c>
      <c r="C178" s="1">
        <v>0.46265395584199442</v>
      </c>
      <c r="D178" s="1">
        <v>6.0730458174031547E-3</v>
      </c>
      <c r="F178" s="1">
        <v>63.093001553500002</v>
      </c>
      <c r="G178" s="5">
        <v>32.426666666666698</v>
      </c>
      <c r="H178" s="4">
        <v>608.44285520850303</v>
      </c>
      <c r="I178" s="6">
        <v>2063.5872371966502</v>
      </c>
      <c r="J178" s="1">
        <v>36.659999999999997</v>
      </c>
      <c r="K178" s="1">
        <v>7</v>
      </c>
      <c r="L178" s="7">
        <v>6</v>
      </c>
      <c r="M178" s="1">
        <v>8</v>
      </c>
      <c r="N178" s="1">
        <v>2</v>
      </c>
      <c r="O178" s="4">
        <v>11.4023150684932</v>
      </c>
      <c r="P178" s="4">
        <v>0.31463748290013682</v>
      </c>
      <c r="Q178" s="8">
        <v>2000</v>
      </c>
      <c r="R178" s="8">
        <v>470</v>
      </c>
      <c r="S178" s="5">
        <v>0.50666666666666704</v>
      </c>
      <c r="T178" s="5">
        <v>6.8333333333333302E-2</v>
      </c>
      <c r="U178" s="1">
        <v>17</v>
      </c>
      <c r="V178" s="1">
        <v>40.214930000000003</v>
      </c>
      <c r="W178" s="1">
        <v>32.733350000000002</v>
      </c>
      <c r="X178" s="1">
        <v>1</v>
      </c>
      <c r="Y178" s="1">
        <v>1</v>
      </c>
      <c r="Z178" s="4">
        <f t="shared" si="2"/>
        <v>0.68536251709986318</v>
      </c>
    </row>
    <row r="179" spans="1:26" x14ac:dyDescent="0.15">
      <c r="A179" s="1" t="s">
        <v>200</v>
      </c>
      <c r="B179" s="1" t="s">
        <v>172</v>
      </c>
      <c r="C179" s="1">
        <v>0.44868920997206585</v>
      </c>
      <c r="D179" s="1">
        <v>3.9773336671849076E-3</v>
      </c>
      <c r="F179" s="1">
        <v>1069.8376388291899</v>
      </c>
      <c r="G179" s="5">
        <v>114.55249999999999</v>
      </c>
      <c r="H179" s="4">
        <v>229.47991138869699</v>
      </c>
      <c r="I179" s="6">
        <v>165.98382413765</v>
      </c>
      <c r="J179" s="1">
        <v>80.5</v>
      </c>
      <c r="K179" s="1">
        <v>2</v>
      </c>
      <c r="L179" s="7">
        <v>6</v>
      </c>
      <c r="M179" s="1">
        <v>2</v>
      </c>
      <c r="N179" s="1">
        <v>1</v>
      </c>
      <c r="O179" s="4">
        <v>11.4023150684932</v>
      </c>
      <c r="P179" s="4">
        <v>0.29491525423728815</v>
      </c>
      <c r="Q179" s="8">
        <v>8000</v>
      </c>
      <c r="R179" s="8">
        <v>400</v>
      </c>
      <c r="S179" s="5">
        <v>1.522</v>
      </c>
      <c r="T179" s="5">
        <v>0.27</v>
      </c>
      <c r="U179" s="1">
        <v>30</v>
      </c>
      <c r="V179" s="1">
        <v>40.144159999999999</v>
      </c>
      <c r="W179" s="1">
        <v>32.635509999999996</v>
      </c>
      <c r="X179" s="1">
        <v>1</v>
      </c>
      <c r="Y179" s="1">
        <v>1</v>
      </c>
      <c r="Z179" s="4">
        <f t="shared" si="2"/>
        <v>0.70508474576271185</v>
      </c>
    </row>
    <row r="180" spans="1:26" x14ac:dyDescent="0.15">
      <c r="A180" s="1" t="s">
        <v>201</v>
      </c>
      <c r="B180" s="1" t="s">
        <v>202</v>
      </c>
      <c r="C180" s="1">
        <v>0.46807063368081003</v>
      </c>
      <c r="D180" s="1">
        <v>3.6779900867687891E-2</v>
      </c>
      <c r="E180" s="1">
        <v>1.4506888570000001</v>
      </c>
      <c r="F180" s="1">
        <v>226.35246686249999</v>
      </c>
      <c r="G180" s="5">
        <v>22.3</v>
      </c>
      <c r="H180" s="4">
        <v>375.06526461485203</v>
      </c>
      <c r="I180" s="4">
        <v>1777.6548000002899</v>
      </c>
      <c r="J180" s="1">
        <v>13</v>
      </c>
      <c r="K180" s="1">
        <v>14</v>
      </c>
      <c r="L180" s="7">
        <v>6</v>
      </c>
      <c r="M180" s="1">
        <v>11</v>
      </c>
      <c r="N180" s="1">
        <v>3</v>
      </c>
      <c r="O180" s="4">
        <v>11.0022191780822</v>
      </c>
      <c r="P180" s="4">
        <v>0.90275952693823913</v>
      </c>
      <c r="Q180" s="8">
        <v>480</v>
      </c>
      <c r="R180" s="8">
        <v>126.6</v>
      </c>
      <c r="S180" s="5">
        <v>2.1666666666666701</v>
      </c>
      <c r="T180" s="5">
        <v>0.51866666666666705</v>
      </c>
      <c r="U180" s="1">
        <v>63</v>
      </c>
      <c r="V180" s="1">
        <v>52.894860469999998</v>
      </c>
      <c r="W180" s="1">
        <v>1.1366120099999999</v>
      </c>
      <c r="X180" s="1">
        <v>0</v>
      </c>
      <c r="Y180" s="1">
        <v>1</v>
      </c>
      <c r="Z180" s="4">
        <f t="shared" si="2"/>
        <v>9.7240473061760868E-2</v>
      </c>
    </row>
    <row r="181" spans="1:26" x14ac:dyDescent="0.15">
      <c r="A181" s="1" t="s">
        <v>203</v>
      </c>
      <c r="B181" s="1" t="s">
        <v>202</v>
      </c>
      <c r="C181" s="1">
        <v>0.48627840640616882</v>
      </c>
      <c r="E181" s="1">
        <v>1.7057227315000001</v>
      </c>
      <c r="F181" s="1">
        <v>600.15254602849996</v>
      </c>
      <c r="G181" s="5">
        <v>65.633333333333297</v>
      </c>
      <c r="H181" s="4">
        <v>843.967325690341</v>
      </c>
      <c r="I181" s="4">
        <v>2490.6498217747599</v>
      </c>
      <c r="J181" s="1">
        <v>14</v>
      </c>
      <c r="K181" s="1">
        <v>16</v>
      </c>
      <c r="L181" s="7">
        <v>6</v>
      </c>
      <c r="M181" s="1">
        <v>11</v>
      </c>
      <c r="N181" s="1">
        <v>2</v>
      </c>
      <c r="O181" s="4">
        <v>11.0022191780822</v>
      </c>
      <c r="P181" s="4">
        <v>0.90275952693823913</v>
      </c>
      <c r="Q181" s="8">
        <v>500</v>
      </c>
      <c r="R181" s="8">
        <v>142.80000000000001</v>
      </c>
      <c r="S181" s="5">
        <v>1.63333333333333</v>
      </c>
      <c r="T181" s="5">
        <v>0.52266666666666695</v>
      </c>
      <c r="U181" s="1">
        <v>87</v>
      </c>
      <c r="V181" s="1">
        <v>52.89631404</v>
      </c>
      <c r="W181" s="1">
        <v>1.14013735</v>
      </c>
      <c r="X181" s="1">
        <v>0</v>
      </c>
      <c r="Y181" s="1">
        <v>1</v>
      </c>
      <c r="Z181" s="4">
        <f t="shared" si="2"/>
        <v>9.7240473061760868E-2</v>
      </c>
    </row>
    <row r="182" spans="1:26" x14ac:dyDescent="0.15">
      <c r="A182" s="1" t="s">
        <v>204</v>
      </c>
      <c r="B182" s="1" t="s">
        <v>202</v>
      </c>
      <c r="C182" s="1">
        <v>0.43054913383659832</v>
      </c>
      <c r="E182" s="1">
        <v>0.81168731599999999</v>
      </c>
      <c r="F182" s="1">
        <v>383.24484393900002</v>
      </c>
      <c r="G182" s="5">
        <v>62.8333333333333</v>
      </c>
      <c r="H182" s="4">
        <v>203.50142503705101</v>
      </c>
      <c r="I182" s="4">
        <v>2379.7559756994601</v>
      </c>
      <c r="J182" s="1">
        <v>2</v>
      </c>
      <c r="K182" s="1">
        <v>10</v>
      </c>
      <c r="L182" s="7">
        <v>9</v>
      </c>
      <c r="M182" s="1">
        <v>10</v>
      </c>
      <c r="N182" s="1">
        <v>2</v>
      </c>
      <c r="O182" s="4">
        <v>11.0022191780822</v>
      </c>
      <c r="P182" s="4">
        <v>0.90513833992094861</v>
      </c>
      <c r="Q182" s="8">
        <v>490</v>
      </c>
      <c r="R182" s="8">
        <v>174</v>
      </c>
      <c r="S182" s="5">
        <v>2.25</v>
      </c>
      <c r="T182" s="5">
        <v>0.20266666666666699</v>
      </c>
      <c r="U182" s="1">
        <v>80</v>
      </c>
      <c r="V182" s="1">
        <v>52.910413069999997</v>
      </c>
      <c r="W182" s="1">
        <v>1.15952933</v>
      </c>
      <c r="X182" s="1">
        <v>1</v>
      </c>
      <c r="Y182" s="1">
        <v>1</v>
      </c>
      <c r="Z182" s="4">
        <f t="shared" si="2"/>
        <v>9.4861660079051391E-2</v>
      </c>
    </row>
    <row r="183" spans="1:26" x14ac:dyDescent="0.15">
      <c r="A183" s="1" t="s">
        <v>205</v>
      </c>
      <c r="B183" s="1" t="s">
        <v>202</v>
      </c>
      <c r="C183" s="1">
        <v>0.42875630270481013</v>
      </c>
      <c r="D183" s="1">
        <v>2.9887956229517672E-2</v>
      </c>
      <c r="E183" s="1">
        <v>1.1584452215000001</v>
      </c>
      <c r="F183" s="1">
        <v>512.55323308050004</v>
      </c>
      <c r="G183" s="5">
        <v>49.7</v>
      </c>
      <c r="H183" s="4">
        <v>69.234830864787696</v>
      </c>
      <c r="I183" s="4">
        <v>723.29278139088399</v>
      </c>
      <c r="J183" s="1">
        <v>8</v>
      </c>
      <c r="K183" s="1">
        <v>11</v>
      </c>
      <c r="L183" s="7">
        <v>7</v>
      </c>
      <c r="M183" s="1">
        <v>14</v>
      </c>
      <c r="N183" s="1">
        <v>0</v>
      </c>
      <c r="O183" s="4">
        <v>11.0022191780822</v>
      </c>
      <c r="P183" s="4">
        <v>0.90513833992094861</v>
      </c>
      <c r="Q183" s="8">
        <v>400</v>
      </c>
      <c r="R183" s="8">
        <v>153.80000000000001</v>
      </c>
      <c r="S183" s="5">
        <v>2.1133333333333302</v>
      </c>
      <c r="T183" s="5">
        <v>0.175666666666667</v>
      </c>
      <c r="U183" s="1">
        <v>80</v>
      </c>
      <c r="V183" s="1">
        <v>52.911593160000002</v>
      </c>
      <c r="W183" s="1">
        <v>1.16080538</v>
      </c>
      <c r="X183" s="1">
        <v>1</v>
      </c>
      <c r="Y183" s="1">
        <v>1</v>
      </c>
      <c r="Z183" s="4">
        <f t="shared" si="2"/>
        <v>9.4861660079051391E-2</v>
      </c>
    </row>
    <row r="184" spans="1:26" x14ac:dyDescent="0.15">
      <c r="A184" s="1" t="s">
        <v>206</v>
      </c>
      <c r="B184" s="1" t="s">
        <v>202</v>
      </c>
      <c r="C184" s="1">
        <v>0.41793129199183376</v>
      </c>
      <c r="D184" s="1">
        <v>3.0399646561317058E-2</v>
      </c>
      <c r="E184" s="1">
        <v>0.93435268800000004</v>
      </c>
      <c r="F184" s="1">
        <v>356.56013710163302</v>
      </c>
      <c r="G184" s="5">
        <v>41.2</v>
      </c>
      <c r="H184" s="4">
        <v>1576.6680390941899</v>
      </c>
      <c r="I184" s="4">
        <v>717.13622264707897</v>
      </c>
      <c r="J184" s="1">
        <v>32</v>
      </c>
      <c r="K184" s="1">
        <v>32</v>
      </c>
      <c r="L184" s="7">
        <v>8</v>
      </c>
      <c r="M184" s="1">
        <v>7</v>
      </c>
      <c r="N184" s="1">
        <v>2</v>
      </c>
      <c r="O184" s="4">
        <v>10.9585068493151</v>
      </c>
      <c r="P184" s="4">
        <v>0.86780104712041883</v>
      </c>
      <c r="Q184" s="8">
        <v>3680</v>
      </c>
      <c r="R184" s="8">
        <v>45.4</v>
      </c>
      <c r="S184" s="5">
        <v>2.5066666666666699</v>
      </c>
      <c r="T184" s="5">
        <v>0.25866666666666699</v>
      </c>
      <c r="U184" s="1">
        <v>28</v>
      </c>
      <c r="V184" s="1">
        <v>52.921105099999998</v>
      </c>
      <c r="W184" s="1">
        <v>1.10433216</v>
      </c>
      <c r="X184" s="1">
        <v>0</v>
      </c>
      <c r="Y184" s="1">
        <v>1</v>
      </c>
      <c r="Z184" s="4">
        <f t="shared" si="2"/>
        <v>0.13219895287958117</v>
      </c>
    </row>
    <row r="185" spans="1:26" x14ac:dyDescent="0.15">
      <c r="A185" s="1" t="s">
        <v>207</v>
      </c>
      <c r="B185" s="1" t="s">
        <v>202</v>
      </c>
      <c r="C185" s="1">
        <v>0.3948473366805586</v>
      </c>
      <c r="D185" s="1">
        <v>3.4423269315948926E-2</v>
      </c>
      <c r="E185" s="1">
        <v>2.299625534</v>
      </c>
      <c r="F185" s="1">
        <v>357.98565948599997</v>
      </c>
      <c r="G185" s="5">
        <v>38.6</v>
      </c>
      <c r="H185" s="4">
        <v>49.935313421192802</v>
      </c>
      <c r="I185" s="4">
        <v>2400.1634869736499</v>
      </c>
      <c r="J185" s="1">
        <v>80</v>
      </c>
      <c r="K185" s="1">
        <v>22</v>
      </c>
      <c r="L185" s="7">
        <v>6</v>
      </c>
      <c r="M185" s="1">
        <v>11</v>
      </c>
      <c r="N185" s="1">
        <v>2</v>
      </c>
      <c r="O185" s="4">
        <v>10.9585068493151</v>
      </c>
      <c r="P185" s="4">
        <v>0.86780104712041883</v>
      </c>
      <c r="Q185" s="8">
        <v>320</v>
      </c>
      <c r="R185" s="8">
        <v>47.2</v>
      </c>
      <c r="S185" s="5">
        <v>2.0633333333333299</v>
      </c>
      <c r="T185" s="5">
        <v>8.6333333333333304E-2</v>
      </c>
      <c r="U185" s="1">
        <v>24.5</v>
      </c>
      <c r="V185" s="1">
        <v>52.920739150000003</v>
      </c>
      <c r="W185" s="1">
        <v>1.10525823</v>
      </c>
      <c r="X185" s="1">
        <v>1</v>
      </c>
      <c r="Y185" s="1">
        <v>1</v>
      </c>
      <c r="Z185" s="4">
        <f t="shared" si="2"/>
        <v>0.13219895287958117</v>
      </c>
    </row>
    <row r="186" spans="1:26" x14ac:dyDescent="0.15">
      <c r="A186" s="1" t="s">
        <v>208</v>
      </c>
      <c r="B186" s="1" t="s">
        <v>202</v>
      </c>
      <c r="C186" s="1">
        <v>0.34539937275816046</v>
      </c>
      <c r="D186" s="1">
        <v>3.3427587139138897E-2</v>
      </c>
      <c r="E186" s="1">
        <v>0.63804532599999997</v>
      </c>
      <c r="F186" s="1">
        <v>670.21334634749996</v>
      </c>
      <c r="G186" s="5">
        <v>15.1</v>
      </c>
      <c r="H186" s="4">
        <v>1498.5414814502999</v>
      </c>
      <c r="I186" s="4">
        <v>684.27966574545098</v>
      </c>
      <c r="J186" s="1">
        <v>62</v>
      </c>
      <c r="K186" s="1">
        <v>11</v>
      </c>
      <c r="L186" s="7">
        <v>5</v>
      </c>
      <c r="M186" s="1">
        <v>7</v>
      </c>
      <c r="N186" s="1">
        <v>3</v>
      </c>
      <c r="O186" s="4">
        <v>10.9737945205479</v>
      </c>
      <c r="P186" s="4">
        <v>0.90203562340966925</v>
      </c>
      <c r="Q186" s="8">
        <v>110</v>
      </c>
      <c r="R186" s="8">
        <v>75</v>
      </c>
      <c r="S186" s="5">
        <v>1.9266666666666701</v>
      </c>
      <c r="T186" s="5">
        <v>0.26300000000000001</v>
      </c>
      <c r="U186" s="1">
        <v>97</v>
      </c>
      <c r="V186" s="1">
        <v>52.761737500000002</v>
      </c>
      <c r="W186" s="1">
        <v>0.87482336000000005</v>
      </c>
      <c r="X186" s="1">
        <v>1</v>
      </c>
      <c r="Y186" s="1">
        <v>1</v>
      </c>
      <c r="Z186" s="4">
        <f t="shared" si="2"/>
        <v>9.7964376590330748E-2</v>
      </c>
    </row>
    <row r="187" spans="1:26" x14ac:dyDescent="0.15">
      <c r="A187" s="1" t="s">
        <v>209</v>
      </c>
      <c r="B187" s="1" t="s">
        <v>202</v>
      </c>
      <c r="C187" s="1">
        <v>0.52543670950489341</v>
      </c>
      <c r="D187" s="1">
        <v>3.1322343974602415E-2</v>
      </c>
      <c r="E187" s="1">
        <v>0.62846546599999997</v>
      </c>
      <c r="F187" s="1">
        <v>294.10280635083302</v>
      </c>
      <c r="G187" s="5">
        <v>10.1</v>
      </c>
      <c r="H187" s="4">
        <v>43.6402014533612</v>
      </c>
      <c r="I187" s="4">
        <v>7109.8531352055898</v>
      </c>
      <c r="J187" s="1">
        <v>33</v>
      </c>
      <c r="K187" s="1">
        <v>13</v>
      </c>
      <c r="L187" s="7">
        <v>6</v>
      </c>
      <c r="M187" s="1">
        <v>12</v>
      </c>
      <c r="N187" s="1">
        <v>3</v>
      </c>
      <c r="O187" s="4">
        <v>10.9737945205479</v>
      </c>
      <c r="P187" s="4">
        <v>0.90203562340966925</v>
      </c>
      <c r="Q187" s="8">
        <v>130</v>
      </c>
      <c r="R187" s="8">
        <v>107.4</v>
      </c>
      <c r="S187" s="5">
        <v>1.4</v>
      </c>
      <c r="T187" s="5">
        <v>0.12833333333333299</v>
      </c>
      <c r="U187" s="1">
        <v>92</v>
      </c>
      <c r="V187" s="1">
        <v>52.76325903</v>
      </c>
      <c r="W187" s="1">
        <v>0.87141022999999995</v>
      </c>
      <c r="X187" s="1">
        <v>0</v>
      </c>
      <c r="Y187" s="1">
        <v>1</v>
      </c>
      <c r="Z187" s="4">
        <f t="shared" si="2"/>
        <v>9.7964376590330748E-2</v>
      </c>
    </row>
    <row r="188" spans="1:26" x14ac:dyDescent="0.15">
      <c r="A188" s="1" t="s">
        <v>210</v>
      </c>
      <c r="B188" s="1" t="s">
        <v>202</v>
      </c>
      <c r="C188" s="1">
        <v>0.39525938130616722</v>
      </c>
      <c r="D188" s="1">
        <v>3.2096220876595534E-2</v>
      </c>
      <c r="E188" s="1">
        <v>1.5483267445</v>
      </c>
      <c r="F188" s="1">
        <v>1080.2942317075001</v>
      </c>
      <c r="G188" s="5">
        <v>30.9</v>
      </c>
      <c r="H188" s="4">
        <v>258.33763779432201</v>
      </c>
      <c r="I188" s="4">
        <v>1395.34328431515</v>
      </c>
      <c r="J188" s="1">
        <v>68</v>
      </c>
      <c r="K188" s="1">
        <v>14</v>
      </c>
      <c r="L188" s="7">
        <v>8</v>
      </c>
      <c r="M188" s="1">
        <v>8</v>
      </c>
      <c r="N188" s="1">
        <v>3</v>
      </c>
      <c r="O188" s="4">
        <v>10.9146164383562</v>
      </c>
      <c r="P188" s="4">
        <v>0.89743589743589747</v>
      </c>
      <c r="Q188" s="8">
        <v>300</v>
      </c>
      <c r="R188" s="8">
        <v>25</v>
      </c>
      <c r="S188" s="5">
        <v>4.32</v>
      </c>
      <c r="T188" s="5">
        <v>0.79833333333333301</v>
      </c>
      <c r="U188" s="1">
        <v>79.5</v>
      </c>
      <c r="V188" s="1">
        <v>52.776196900000002</v>
      </c>
      <c r="W188" s="1">
        <v>0.90436673000000001</v>
      </c>
      <c r="X188" s="1">
        <v>0</v>
      </c>
      <c r="Y188" s="1">
        <v>1</v>
      </c>
      <c r="Z188" s="4">
        <f t="shared" si="2"/>
        <v>0.10256410256410253</v>
      </c>
    </row>
    <row r="189" spans="1:26" x14ac:dyDescent="0.15">
      <c r="A189" s="1" t="s">
        <v>211</v>
      </c>
      <c r="B189" s="1" t="s">
        <v>202</v>
      </c>
      <c r="C189" s="1">
        <v>0.46314647713279344</v>
      </c>
      <c r="D189" s="1">
        <v>4.6681884133072296E-2</v>
      </c>
      <c r="E189" s="1">
        <v>0.92731578299999995</v>
      </c>
      <c r="F189" s="1">
        <v>317.68732191956701</v>
      </c>
      <c r="G189" s="5">
        <v>14.5</v>
      </c>
      <c r="H189" s="4">
        <v>88.852469946963197</v>
      </c>
      <c r="I189" s="4">
        <v>1016.01641876582</v>
      </c>
      <c r="J189" s="1">
        <v>32</v>
      </c>
      <c r="K189" s="1">
        <v>18</v>
      </c>
      <c r="L189" s="7">
        <v>7</v>
      </c>
      <c r="M189" s="1">
        <v>10</v>
      </c>
      <c r="N189" s="1">
        <v>3</v>
      </c>
      <c r="O189" s="4">
        <v>10.9146164383562</v>
      </c>
      <c r="P189" s="4">
        <v>0.86352040816326525</v>
      </c>
      <c r="Q189" s="8">
        <v>280</v>
      </c>
      <c r="R189" s="8">
        <v>91</v>
      </c>
      <c r="S189" s="5">
        <v>4.6533333333333298</v>
      </c>
      <c r="T189" s="5">
        <v>0.139333333333333</v>
      </c>
      <c r="U189" s="1">
        <v>74</v>
      </c>
      <c r="V189" s="1">
        <v>52.746280120000002</v>
      </c>
      <c r="W189" s="1">
        <v>0.93133166000000001</v>
      </c>
      <c r="X189" s="1">
        <v>0</v>
      </c>
      <c r="Y189" s="1">
        <v>1</v>
      </c>
      <c r="Z189" s="4">
        <f t="shared" si="2"/>
        <v>0.13647959183673475</v>
      </c>
    </row>
    <row r="190" spans="1:26" x14ac:dyDescent="0.15">
      <c r="A190" s="1" t="s">
        <v>212</v>
      </c>
      <c r="B190" s="1" t="s">
        <v>202</v>
      </c>
      <c r="C190" s="1">
        <v>0.60129038942060398</v>
      </c>
      <c r="E190" s="1">
        <v>2.4483925025</v>
      </c>
      <c r="F190" s="1">
        <v>640.68891376249996</v>
      </c>
      <c r="G190" s="5">
        <v>15.133333333333301</v>
      </c>
      <c r="H190" s="4">
        <v>2138.4010130505299</v>
      </c>
      <c r="I190" s="4">
        <v>740.33404292105104</v>
      </c>
      <c r="J190" s="1">
        <v>4</v>
      </c>
      <c r="K190" s="1">
        <v>20</v>
      </c>
      <c r="L190" s="7">
        <v>6</v>
      </c>
      <c r="M190" s="1">
        <v>9</v>
      </c>
      <c r="N190" s="1">
        <v>0</v>
      </c>
      <c r="O190" s="4">
        <v>10.9146164383562</v>
      </c>
      <c r="P190" s="4">
        <v>0.87404580152671751</v>
      </c>
      <c r="Q190" s="8">
        <v>75</v>
      </c>
      <c r="R190" s="8">
        <v>57.2</v>
      </c>
      <c r="S190" s="5">
        <v>3.85</v>
      </c>
      <c r="T190" s="5">
        <v>0.56066666666666698</v>
      </c>
      <c r="U190" s="1">
        <v>92</v>
      </c>
      <c r="V190" s="1">
        <v>52.74760465</v>
      </c>
      <c r="W190" s="1">
        <v>0.89831439000000002</v>
      </c>
      <c r="X190" s="1">
        <v>0</v>
      </c>
      <c r="Y190" s="1">
        <v>1</v>
      </c>
      <c r="Z190" s="4">
        <f t="shared" si="2"/>
        <v>0.12595419847328249</v>
      </c>
    </row>
    <row r="191" spans="1:26" x14ac:dyDescent="0.15">
      <c r="A191" s="1" t="s">
        <v>213</v>
      </c>
      <c r="B191" s="1" t="s">
        <v>202</v>
      </c>
      <c r="C191" s="1">
        <v>0.3933573187306062</v>
      </c>
      <c r="D191" s="1">
        <v>4.7582129471585848E-2</v>
      </c>
      <c r="E191" s="1">
        <v>1.0225227105000001</v>
      </c>
      <c r="F191" s="1">
        <v>146.49840705166699</v>
      </c>
      <c r="G191" s="5">
        <v>19.733333333333299</v>
      </c>
      <c r="H191" s="4">
        <v>1208.18769743351</v>
      </c>
      <c r="I191" s="4">
        <v>10362.880378796301</v>
      </c>
      <c r="J191" s="1">
        <v>40</v>
      </c>
      <c r="K191" s="1">
        <v>14</v>
      </c>
      <c r="L191" s="7">
        <v>4</v>
      </c>
      <c r="M191" s="1">
        <v>3</v>
      </c>
      <c r="N191" s="1">
        <v>2</v>
      </c>
      <c r="O191" s="4">
        <v>10.9146164383562</v>
      </c>
      <c r="P191" s="4">
        <v>0.8928571428571429</v>
      </c>
      <c r="Q191" s="8">
        <v>220</v>
      </c>
      <c r="R191" s="8">
        <v>28.4</v>
      </c>
      <c r="S191" s="5">
        <v>2.7066666666666701</v>
      </c>
      <c r="T191" s="5">
        <v>0.81333333333333302</v>
      </c>
      <c r="U191" s="1">
        <v>94</v>
      </c>
      <c r="V191" s="1">
        <v>52.753869940000001</v>
      </c>
      <c r="W191" s="1">
        <v>0.89841926000000005</v>
      </c>
      <c r="X191" s="1">
        <v>0</v>
      </c>
      <c r="Y191" s="1">
        <v>0</v>
      </c>
      <c r="Z191" s="4">
        <f t="shared" si="2"/>
        <v>0.1071428571428571</v>
      </c>
    </row>
    <row r="192" spans="1:26" x14ac:dyDescent="0.15">
      <c r="A192" s="1" t="s">
        <v>214</v>
      </c>
      <c r="B192" s="1" t="s">
        <v>202</v>
      </c>
      <c r="C192" s="1">
        <v>0.35693566934906773</v>
      </c>
      <c r="D192" s="1">
        <v>2.5027504953027527E-2</v>
      </c>
      <c r="E192" s="1">
        <v>1.3733266795000001</v>
      </c>
      <c r="F192" s="1">
        <v>382.14392298941698</v>
      </c>
      <c r="G192" s="5">
        <v>29.8</v>
      </c>
      <c r="H192" s="4">
        <v>11.1246265535157</v>
      </c>
      <c r="I192" s="4">
        <v>976.70618663525795</v>
      </c>
      <c r="J192" s="1">
        <v>20</v>
      </c>
      <c r="K192" s="1">
        <v>13</v>
      </c>
      <c r="L192" s="7">
        <v>4</v>
      </c>
      <c r="M192" s="1">
        <v>13</v>
      </c>
      <c r="N192" s="1">
        <v>2</v>
      </c>
      <c r="O192" s="4">
        <v>10.980890410958899</v>
      </c>
      <c r="P192" s="4">
        <v>0.86310299869621898</v>
      </c>
      <c r="Q192" s="8">
        <v>290</v>
      </c>
      <c r="R192" s="8">
        <v>98.4</v>
      </c>
      <c r="S192" s="5">
        <v>1.96</v>
      </c>
      <c r="T192" s="5">
        <v>0.150666666666667</v>
      </c>
      <c r="U192" s="1">
        <v>98</v>
      </c>
      <c r="V192" s="1">
        <v>52.797299350000003</v>
      </c>
      <c r="W192" s="1">
        <v>1.12759448</v>
      </c>
      <c r="X192" s="1">
        <v>0</v>
      </c>
      <c r="Y192" s="1">
        <v>1</v>
      </c>
      <c r="Z192" s="4">
        <f t="shared" si="2"/>
        <v>0.13689700130378102</v>
      </c>
    </row>
    <row r="193" spans="1:26" x14ac:dyDescent="0.15">
      <c r="A193" s="1" t="s">
        <v>215</v>
      </c>
      <c r="B193" s="1" t="s">
        <v>202</v>
      </c>
      <c r="C193" s="1">
        <v>0.42605784348157905</v>
      </c>
      <c r="D193" s="1">
        <v>4.6103098752734099E-2</v>
      </c>
      <c r="E193" s="1">
        <v>0.48488042999999997</v>
      </c>
      <c r="F193" s="1">
        <v>341.71730203024998</v>
      </c>
      <c r="G193" s="5">
        <v>29.5</v>
      </c>
      <c r="H193" s="4">
        <v>50.820963151022099</v>
      </c>
      <c r="I193" s="4">
        <v>5053.4474679416498</v>
      </c>
      <c r="J193" s="1">
        <v>18</v>
      </c>
      <c r="K193" s="1">
        <v>15</v>
      </c>
      <c r="L193" s="7">
        <v>8</v>
      </c>
      <c r="M193" s="1">
        <v>13</v>
      </c>
      <c r="N193" s="1">
        <v>3</v>
      </c>
      <c r="O193" s="4">
        <v>10.9146164383562</v>
      </c>
      <c r="P193" s="4">
        <v>0.87630208333333337</v>
      </c>
      <c r="Q193" s="8">
        <v>160</v>
      </c>
      <c r="R193" s="8">
        <v>131.19999999999999</v>
      </c>
      <c r="S193" s="5">
        <v>1.86333333333333</v>
      </c>
      <c r="T193" s="5">
        <v>0.10566666666666701</v>
      </c>
      <c r="U193" s="1">
        <v>97.5</v>
      </c>
      <c r="V193" s="1">
        <v>52.797741479999999</v>
      </c>
      <c r="W193" s="1">
        <v>1.1203708800000001</v>
      </c>
      <c r="X193" s="1">
        <v>0</v>
      </c>
      <c r="Y193" s="1">
        <v>1</v>
      </c>
      <c r="Z193" s="4">
        <f t="shared" si="2"/>
        <v>0.12369791666666663</v>
      </c>
    </row>
    <row r="194" spans="1:26" x14ac:dyDescent="0.15">
      <c r="A194" s="1" t="s">
        <v>216</v>
      </c>
      <c r="B194" s="1" t="s">
        <v>202</v>
      </c>
      <c r="C194" s="1">
        <v>0.46499374868068677</v>
      </c>
      <c r="D194" s="1">
        <v>7.1154882903768618E-2</v>
      </c>
      <c r="E194" s="1">
        <v>0.45787029400000001</v>
      </c>
      <c r="F194" s="1">
        <v>809.86927600416698</v>
      </c>
      <c r="G194" s="5">
        <v>41.7</v>
      </c>
      <c r="H194" s="4">
        <v>37.838915793977698</v>
      </c>
      <c r="I194" s="4">
        <v>1216.19360334001</v>
      </c>
      <c r="J194" s="1">
        <v>16</v>
      </c>
      <c r="K194" s="1">
        <v>15</v>
      </c>
      <c r="L194" s="7">
        <v>10</v>
      </c>
      <c r="M194" s="1">
        <v>10</v>
      </c>
      <c r="N194" s="1">
        <v>2</v>
      </c>
      <c r="O194" s="4">
        <v>10.980890410958899</v>
      </c>
      <c r="P194" s="4">
        <v>0.84555984555984554</v>
      </c>
      <c r="Q194" s="8">
        <v>550</v>
      </c>
      <c r="R194" s="8">
        <v>142.80000000000001</v>
      </c>
      <c r="S194" s="5">
        <v>2.2733333333333299</v>
      </c>
      <c r="T194" s="5">
        <v>0.14199999999999999</v>
      </c>
      <c r="U194" s="1">
        <v>98</v>
      </c>
      <c r="V194" s="1">
        <v>52.783519779999999</v>
      </c>
      <c r="W194" s="1">
        <v>1.1629299200000001</v>
      </c>
      <c r="X194" s="1">
        <v>1</v>
      </c>
      <c r="Y194" s="1">
        <v>1</v>
      </c>
      <c r="Z194" s="4">
        <f t="shared" si="2"/>
        <v>0.15444015444015446</v>
      </c>
    </row>
    <row r="195" spans="1:26" x14ac:dyDescent="0.15">
      <c r="A195" s="1" t="s">
        <v>217</v>
      </c>
      <c r="B195" s="1" t="s">
        <v>202</v>
      </c>
      <c r="C195" s="1">
        <v>0.39399459640322709</v>
      </c>
      <c r="E195" s="1">
        <v>0.40647191100000002</v>
      </c>
      <c r="F195" s="1">
        <v>164.22574333930001</v>
      </c>
      <c r="G195" s="5">
        <v>59.4</v>
      </c>
      <c r="H195" s="4">
        <v>108.232322469775</v>
      </c>
      <c r="I195" s="4">
        <v>828.268554747704</v>
      </c>
      <c r="J195" s="1">
        <v>14</v>
      </c>
      <c r="K195" s="1">
        <v>12</v>
      </c>
      <c r="L195" s="7">
        <v>8</v>
      </c>
      <c r="M195" s="1">
        <v>12</v>
      </c>
      <c r="N195" s="1">
        <v>2</v>
      </c>
      <c r="O195" s="4">
        <v>10.980890410958899</v>
      </c>
      <c r="P195" s="4">
        <v>0.84555984555984554</v>
      </c>
      <c r="Q195" s="8">
        <v>180</v>
      </c>
      <c r="R195" s="8">
        <v>67</v>
      </c>
      <c r="S195" s="5">
        <v>1.2566666666666699</v>
      </c>
      <c r="T195" s="5">
        <v>9.1999999999999998E-2</v>
      </c>
      <c r="U195" s="1">
        <v>92</v>
      </c>
      <c r="V195" s="1">
        <v>52.784249690000003</v>
      </c>
      <c r="W195" s="1">
        <v>1.16253791</v>
      </c>
      <c r="X195" s="1">
        <v>1</v>
      </c>
      <c r="Y195" s="1">
        <v>1</v>
      </c>
      <c r="Z195" s="4">
        <f t="shared" ref="Z195:Z207" si="3">1-P195</f>
        <v>0.15444015444015446</v>
      </c>
    </row>
    <row r="196" spans="1:26" x14ac:dyDescent="0.15">
      <c r="A196" s="1" t="s">
        <v>218</v>
      </c>
      <c r="B196" s="1" t="s">
        <v>202</v>
      </c>
      <c r="C196" s="1">
        <v>0.40769146674464907</v>
      </c>
      <c r="D196" s="1">
        <v>2.2603138434247216E-2</v>
      </c>
      <c r="E196" s="1">
        <v>0.325722815</v>
      </c>
      <c r="F196" s="1">
        <v>231.90894457666701</v>
      </c>
      <c r="G196" s="5">
        <v>32.200000000000003</v>
      </c>
      <c r="H196" s="4">
        <v>245.832801004602</v>
      </c>
      <c r="I196" s="4">
        <v>1380.8453764777</v>
      </c>
      <c r="J196" s="1">
        <v>33</v>
      </c>
      <c r="K196" s="1">
        <v>24</v>
      </c>
      <c r="L196" s="7">
        <v>9</v>
      </c>
      <c r="M196" s="1">
        <v>13</v>
      </c>
      <c r="N196" s="1">
        <v>2</v>
      </c>
      <c r="O196" s="4">
        <v>10.9146164383562</v>
      </c>
      <c r="P196" s="4">
        <v>0.87874837027379404</v>
      </c>
      <c r="Q196" s="8">
        <v>350</v>
      </c>
      <c r="R196" s="8">
        <v>69.2</v>
      </c>
      <c r="S196" s="5">
        <v>1.80666666666667</v>
      </c>
      <c r="T196" s="5">
        <v>0.05</v>
      </c>
      <c r="U196" s="1">
        <v>94</v>
      </c>
      <c r="V196" s="1">
        <v>52.784615340000002</v>
      </c>
      <c r="W196" s="1">
        <v>1.0350047200000001</v>
      </c>
      <c r="X196" s="1">
        <v>0</v>
      </c>
      <c r="Y196" s="1">
        <v>1</v>
      </c>
      <c r="Z196" s="4">
        <f t="shared" si="3"/>
        <v>0.12125162972620596</v>
      </c>
    </row>
    <row r="197" spans="1:26" x14ac:dyDescent="0.15">
      <c r="A197" s="1" t="s">
        <v>219</v>
      </c>
      <c r="B197" s="1" t="s">
        <v>202</v>
      </c>
      <c r="C197" s="1">
        <v>0.54739924733186207</v>
      </c>
      <c r="D197" s="1">
        <v>1.7269316295753828E-2</v>
      </c>
      <c r="E197" s="1">
        <v>0.44838304350000002</v>
      </c>
      <c r="F197" s="1">
        <v>483.1942197125</v>
      </c>
      <c r="G197" s="5">
        <v>11.05</v>
      </c>
      <c r="H197" s="4">
        <v>36.769608280782798</v>
      </c>
      <c r="I197" s="4">
        <v>1169.8051599087601</v>
      </c>
      <c r="J197" s="1">
        <v>33</v>
      </c>
      <c r="K197" s="1">
        <v>23</v>
      </c>
      <c r="L197" s="7">
        <v>6</v>
      </c>
      <c r="M197" s="1">
        <v>9</v>
      </c>
      <c r="N197" s="1">
        <v>2</v>
      </c>
      <c r="O197" s="4">
        <v>10.9146164383562</v>
      </c>
      <c r="P197" s="4">
        <v>0.87532467532467528</v>
      </c>
      <c r="Q197" s="8">
        <v>120</v>
      </c>
      <c r="R197" s="8">
        <v>87.8</v>
      </c>
      <c r="S197" s="5">
        <v>1.40333333333333</v>
      </c>
      <c r="T197" s="5">
        <v>7.4333333333333307E-2</v>
      </c>
      <c r="U197" s="1">
        <v>85</v>
      </c>
      <c r="V197" s="1">
        <v>52.77792814</v>
      </c>
      <c r="W197" s="1">
        <v>1.03275955</v>
      </c>
      <c r="X197" s="1">
        <v>0</v>
      </c>
      <c r="Y197" s="1">
        <v>1</v>
      </c>
      <c r="Z197" s="4">
        <f t="shared" si="3"/>
        <v>0.12467532467532472</v>
      </c>
    </row>
    <row r="198" spans="1:26" x14ac:dyDescent="0.15">
      <c r="A198" s="1" t="s">
        <v>220</v>
      </c>
      <c r="B198" s="1" t="s">
        <v>202</v>
      </c>
      <c r="C198" s="1">
        <v>0.4684324687895407</v>
      </c>
      <c r="D198" s="1">
        <v>1.5125916831250976E-2</v>
      </c>
      <c r="E198" s="1">
        <v>2.5062680400000001</v>
      </c>
      <c r="F198" s="1">
        <v>503.46103516833301</v>
      </c>
      <c r="G198" s="5">
        <v>12.6</v>
      </c>
      <c r="H198" s="4"/>
      <c r="I198" s="4">
        <v>1990.82024147169</v>
      </c>
      <c r="J198" s="1">
        <v>33</v>
      </c>
      <c r="K198" s="1">
        <v>12</v>
      </c>
      <c r="L198" s="7">
        <v>1</v>
      </c>
      <c r="M198" s="1">
        <v>10</v>
      </c>
      <c r="N198" s="1">
        <v>0</v>
      </c>
      <c r="O198" s="4">
        <v>11.002684931506799</v>
      </c>
      <c r="P198" s="4">
        <v>1.179144385026738</v>
      </c>
      <c r="Q198" s="8">
        <v>600</v>
      </c>
      <c r="R198" s="8">
        <v>134.4</v>
      </c>
      <c r="S198" s="5">
        <v>2.2566666666666699</v>
      </c>
      <c r="T198" s="5">
        <v>0.189</v>
      </c>
      <c r="U198" s="1">
        <v>94</v>
      </c>
      <c r="V198" s="1">
        <v>53.612596099999998</v>
      </c>
      <c r="W198" s="1">
        <v>-2.8824124499999999</v>
      </c>
      <c r="X198" s="1">
        <v>1</v>
      </c>
      <c r="Y198" s="1">
        <v>1</v>
      </c>
      <c r="Z198" s="4">
        <f t="shared" si="3"/>
        <v>-0.17914438502673802</v>
      </c>
    </row>
    <row r="199" spans="1:26" x14ac:dyDescent="0.15">
      <c r="A199" s="1" t="s">
        <v>221</v>
      </c>
      <c r="B199" s="1" t="s">
        <v>202</v>
      </c>
      <c r="C199" s="1">
        <v>0.4785894718584881</v>
      </c>
      <c r="D199" s="1">
        <v>1.2466653736355892E-2</v>
      </c>
      <c r="E199" s="1">
        <v>0.9561481235</v>
      </c>
      <c r="F199" s="1">
        <v>726.80846094213302</v>
      </c>
      <c r="G199" s="5">
        <v>63.4</v>
      </c>
      <c r="H199" s="4">
        <v>118.34164419554899</v>
      </c>
      <c r="I199" s="4">
        <v>728.10238634535494</v>
      </c>
      <c r="J199" s="1">
        <v>23</v>
      </c>
      <c r="K199" s="1">
        <v>10</v>
      </c>
      <c r="L199" s="7">
        <v>5</v>
      </c>
      <c r="M199" s="1">
        <v>8</v>
      </c>
      <c r="N199" s="1">
        <v>3</v>
      </c>
      <c r="O199" s="4">
        <v>11.002684931506799</v>
      </c>
      <c r="P199" s="4">
        <v>1.1823056300268096</v>
      </c>
      <c r="Q199" s="8">
        <v>130</v>
      </c>
      <c r="R199" s="8">
        <v>101.2</v>
      </c>
      <c r="S199" s="5">
        <v>3.0366666666666702</v>
      </c>
      <c r="T199" s="5">
        <v>0.19966666666666699</v>
      </c>
      <c r="U199" s="1">
        <v>98</v>
      </c>
      <c r="V199" s="1">
        <v>53.599702540000003</v>
      </c>
      <c r="W199" s="1">
        <v>-2.8792876299999999</v>
      </c>
      <c r="X199" s="1">
        <v>1</v>
      </c>
      <c r="Y199" s="1">
        <v>1</v>
      </c>
      <c r="Z199" s="4">
        <f t="shared" si="3"/>
        <v>-0.18230563002680955</v>
      </c>
    </row>
    <row r="200" spans="1:26" x14ac:dyDescent="0.15">
      <c r="A200" s="1" t="s">
        <v>222</v>
      </c>
      <c r="B200" s="1" t="s">
        <v>202</v>
      </c>
      <c r="C200" s="1">
        <v>0.47131922433526852</v>
      </c>
      <c r="D200" s="1">
        <v>1.7308788792807613E-2</v>
      </c>
      <c r="E200" s="1">
        <v>0.50292709449999995</v>
      </c>
      <c r="F200" s="1">
        <v>579.66569692500002</v>
      </c>
      <c r="G200" s="5">
        <v>39</v>
      </c>
      <c r="H200" s="4">
        <v>19.0606014191656</v>
      </c>
      <c r="I200" s="4">
        <v>696.17159405450002</v>
      </c>
      <c r="J200" s="1">
        <v>54</v>
      </c>
      <c r="K200" s="1">
        <v>8</v>
      </c>
      <c r="L200" s="7">
        <v>6</v>
      </c>
      <c r="M200" s="1">
        <v>10</v>
      </c>
      <c r="N200" s="1">
        <v>0</v>
      </c>
      <c r="O200" s="4">
        <v>11.002684931506799</v>
      </c>
      <c r="P200" s="4">
        <v>1.1276315789473683</v>
      </c>
      <c r="Q200" s="8">
        <v>85</v>
      </c>
      <c r="R200" s="8">
        <v>138.6</v>
      </c>
      <c r="S200" s="5">
        <v>6</v>
      </c>
      <c r="T200" s="5">
        <v>0.18533333333333299</v>
      </c>
      <c r="U200" s="1">
        <v>97</v>
      </c>
      <c r="V200" s="1">
        <v>53.572531120000001</v>
      </c>
      <c r="W200" s="1">
        <v>-2.9221101100000002</v>
      </c>
      <c r="X200" s="1">
        <v>0</v>
      </c>
      <c r="Y200" s="1">
        <v>1</v>
      </c>
      <c r="Z200" s="4">
        <f t="shared" si="3"/>
        <v>-0.12763157894736832</v>
      </c>
    </row>
    <row r="201" spans="1:26" x14ac:dyDescent="0.15">
      <c r="A201" s="1" t="s">
        <v>223</v>
      </c>
      <c r="B201" s="1" t="s">
        <v>202</v>
      </c>
      <c r="C201" s="1">
        <v>0.51716860217130445</v>
      </c>
      <c r="D201" s="1">
        <v>1.003840018284472E-2</v>
      </c>
      <c r="E201" s="1">
        <v>0.75358474450000001</v>
      </c>
      <c r="F201" s="1">
        <v>959.46324717419998</v>
      </c>
      <c r="G201" s="5">
        <v>36.6</v>
      </c>
      <c r="H201" s="4">
        <v>695.16953718421701</v>
      </c>
      <c r="I201" s="4">
        <v>3695.3659100418799</v>
      </c>
      <c r="J201" s="1">
        <v>48</v>
      </c>
      <c r="K201" s="1">
        <v>20</v>
      </c>
      <c r="L201" s="7">
        <v>5</v>
      </c>
      <c r="M201" s="1">
        <v>4</v>
      </c>
      <c r="N201" s="1">
        <v>2</v>
      </c>
      <c r="O201" s="4">
        <v>11.002684931506799</v>
      </c>
      <c r="P201" s="4">
        <v>1.1968295904887714</v>
      </c>
      <c r="Q201" s="8">
        <v>600</v>
      </c>
      <c r="R201" s="8">
        <v>56.8</v>
      </c>
      <c r="S201" s="5">
        <v>2.2799999999999998</v>
      </c>
      <c r="T201" s="5">
        <v>0.28299999999999997</v>
      </c>
      <c r="U201" s="1">
        <v>23</v>
      </c>
      <c r="V201" s="1">
        <v>53.563239920000001</v>
      </c>
      <c r="W201" s="1">
        <v>-2.9111580699999999</v>
      </c>
      <c r="X201" s="1">
        <v>0</v>
      </c>
      <c r="Y201" s="1">
        <v>1</v>
      </c>
      <c r="Z201" s="4">
        <f t="shared" si="3"/>
        <v>-0.19682959048877136</v>
      </c>
    </row>
    <row r="202" spans="1:26" x14ac:dyDescent="0.15">
      <c r="A202" s="1" t="s">
        <v>224</v>
      </c>
      <c r="B202" s="1" t="s">
        <v>202</v>
      </c>
      <c r="E202" s="1">
        <v>1.186635492</v>
      </c>
      <c r="F202" s="1">
        <v>919.76231101099995</v>
      </c>
      <c r="G202" s="5">
        <v>24.2</v>
      </c>
      <c r="H202" s="4"/>
      <c r="I202" s="4">
        <v>158.49776638487501</v>
      </c>
      <c r="J202" s="1">
        <v>75</v>
      </c>
      <c r="K202" s="1">
        <v>18</v>
      </c>
      <c r="L202" s="7">
        <v>4</v>
      </c>
      <c r="M202" s="1">
        <v>4</v>
      </c>
      <c r="N202" s="1">
        <v>0</v>
      </c>
      <c r="O202" s="4">
        <v>10.8258356164384</v>
      </c>
      <c r="P202" s="4">
        <v>0.94590846047156729</v>
      </c>
      <c r="Q202" s="8">
        <v>265</v>
      </c>
      <c r="R202" s="8">
        <v>70</v>
      </c>
      <c r="S202" s="5">
        <v>3.5</v>
      </c>
      <c r="T202" s="5">
        <v>0.44366666666666699</v>
      </c>
      <c r="U202" s="1">
        <v>62</v>
      </c>
      <c r="V202" s="1">
        <v>53.168004889999999</v>
      </c>
      <c r="W202" s="1">
        <v>-2.88500508</v>
      </c>
      <c r="X202" s="1">
        <v>1</v>
      </c>
      <c r="Y202" s="1">
        <v>1</v>
      </c>
      <c r="Z202" s="4">
        <f t="shared" si="3"/>
        <v>5.4091539528432708E-2</v>
      </c>
    </row>
    <row r="203" spans="1:26" x14ac:dyDescent="0.15">
      <c r="A203" s="1" t="s">
        <v>225</v>
      </c>
      <c r="B203" s="1" t="s">
        <v>202</v>
      </c>
      <c r="C203" s="1">
        <v>0.31247770370301675</v>
      </c>
      <c r="D203" s="1">
        <v>1.2645556466528655E-2</v>
      </c>
      <c r="E203" s="1">
        <v>0.58112584550000002</v>
      </c>
      <c r="F203" s="1">
        <v>386.28784872916702</v>
      </c>
      <c r="G203" s="5">
        <v>19.899999999999999</v>
      </c>
      <c r="H203" s="4">
        <v>95.481483153134107</v>
      </c>
      <c r="I203" s="4">
        <v>1271.48375595579</v>
      </c>
      <c r="J203" s="1">
        <v>36</v>
      </c>
      <c r="K203" s="1">
        <v>15</v>
      </c>
      <c r="L203" s="7">
        <v>11</v>
      </c>
      <c r="M203" s="1">
        <v>12</v>
      </c>
      <c r="N203" s="1">
        <v>4</v>
      </c>
      <c r="O203" s="4">
        <v>10.899863013698599</v>
      </c>
      <c r="P203" s="4">
        <v>0.95156695156695159</v>
      </c>
      <c r="Q203" s="8">
        <v>4000</v>
      </c>
      <c r="R203" s="8">
        <v>122.2</v>
      </c>
      <c r="S203" s="5">
        <v>1.7233333333333301</v>
      </c>
      <c r="T203" s="5">
        <v>8.8333333333333305E-2</v>
      </c>
      <c r="U203" s="1">
        <v>98</v>
      </c>
      <c r="V203" s="1">
        <v>53.141020249999997</v>
      </c>
      <c r="W203" s="1">
        <v>-2.8363722</v>
      </c>
      <c r="X203" s="1">
        <v>1</v>
      </c>
      <c r="Y203" s="1">
        <v>1</v>
      </c>
      <c r="Z203" s="4">
        <f t="shared" si="3"/>
        <v>4.8433048433048409E-2</v>
      </c>
    </row>
    <row r="204" spans="1:26" x14ac:dyDescent="0.15">
      <c r="A204" s="1" t="s">
        <v>226</v>
      </c>
      <c r="B204" s="1" t="s">
        <v>202</v>
      </c>
      <c r="C204" s="1">
        <v>0.46391258951358172</v>
      </c>
      <c r="D204" s="1">
        <v>1.6585966066570024E-2</v>
      </c>
      <c r="E204" s="1">
        <v>0.58577923399999998</v>
      </c>
      <c r="F204" s="1">
        <v>234.52362696575</v>
      </c>
      <c r="G204" s="5">
        <v>13.3333333333333</v>
      </c>
      <c r="H204" s="4">
        <v>373.934193923745</v>
      </c>
      <c r="I204" s="4">
        <v>299.08772322262797</v>
      </c>
      <c r="J204" s="1">
        <v>40</v>
      </c>
      <c r="K204" s="1">
        <v>15</v>
      </c>
      <c r="L204" s="7">
        <v>7</v>
      </c>
      <c r="M204" s="1">
        <v>11</v>
      </c>
      <c r="N204" s="1">
        <v>3</v>
      </c>
      <c r="O204" s="4">
        <v>10.899863013698599</v>
      </c>
      <c r="P204" s="4">
        <v>0.94886363636363635</v>
      </c>
      <c r="Q204" s="8">
        <v>540</v>
      </c>
      <c r="R204" s="8">
        <v>111.8</v>
      </c>
      <c r="S204" s="5">
        <v>1.86333333333333</v>
      </c>
      <c r="T204" s="5">
        <v>0.200333333333333</v>
      </c>
      <c r="U204" s="1">
        <v>97</v>
      </c>
      <c r="V204" s="1">
        <v>53.14061804</v>
      </c>
      <c r="W204" s="1">
        <v>-2.8436896200000001</v>
      </c>
      <c r="X204" s="1">
        <v>0</v>
      </c>
      <c r="Y204" s="1">
        <v>1</v>
      </c>
      <c r="Z204" s="4">
        <f t="shared" si="3"/>
        <v>5.1136363636363646E-2</v>
      </c>
    </row>
    <row r="205" spans="1:26" x14ac:dyDescent="0.15">
      <c r="A205" s="1" t="s">
        <v>227</v>
      </c>
      <c r="B205" s="1" t="s">
        <v>202</v>
      </c>
      <c r="C205" s="1">
        <v>0.49555611473291994</v>
      </c>
      <c r="D205" s="1">
        <v>1.0967010634917073E-2</v>
      </c>
      <c r="E205" s="1">
        <v>0.65797742199999998</v>
      </c>
      <c r="F205" s="1">
        <v>1096.65562663883</v>
      </c>
      <c r="G205" s="5">
        <v>57.566666666666698</v>
      </c>
      <c r="H205" s="4">
        <v>148.52363372795401</v>
      </c>
      <c r="I205" s="4">
        <v>228.12057905431701</v>
      </c>
      <c r="J205" s="1">
        <v>22</v>
      </c>
      <c r="K205" s="1">
        <v>14</v>
      </c>
      <c r="L205" s="7">
        <v>5</v>
      </c>
      <c r="M205" s="1">
        <v>9</v>
      </c>
      <c r="N205" s="1">
        <v>3</v>
      </c>
      <c r="O205" s="4">
        <v>10.899863013698599</v>
      </c>
      <c r="P205" s="4">
        <v>0.94886363636363635</v>
      </c>
      <c r="Q205" s="8">
        <v>580</v>
      </c>
      <c r="R205" s="8">
        <v>70.400000000000006</v>
      </c>
      <c r="S205" s="5">
        <v>3.1466666666666701</v>
      </c>
      <c r="T205" s="5">
        <v>0.32666666666666699</v>
      </c>
      <c r="U205" s="1">
        <v>25</v>
      </c>
      <c r="V205" s="1">
        <v>53.139108020000002</v>
      </c>
      <c r="W205" s="1">
        <v>-2.8624807400000001</v>
      </c>
      <c r="X205" s="1">
        <v>0</v>
      </c>
      <c r="Y205" s="1">
        <v>1</v>
      </c>
      <c r="Z205" s="4">
        <f t="shared" si="3"/>
        <v>5.1136363636363646E-2</v>
      </c>
    </row>
    <row r="206" spans="1:26" x14ac:dyDescent="0.15">
      <c r="A206" s="1" t="s">
        <v>228</v>
      </c>
      <c r="B206" s="1" t="s">
        <v>202</v>
      </c>
      <c r="C206" s="1">
        <v>0.41574309475440385</v>
      </c>
      <c r="D206" s="1">
        <v>1.2198921597581113E-2</v>
      </c>
      <c r="E206" s="1">
        <v>0.26166511050000002</v>
      </c>
      <c r="F206" s="1">
        <v>204.2301324339</v>
      </c>
      <c r="G206" s="5">
        <v>30.966666666666701</v>
      </c>
      <c r="H206" s="4">
        <v>2.1849820620684999</v>
      </c>
      <c r="I206" s="4">
        <v>349.097548228942</v>
      </c>
      <c r="J206" s="1">
        <v>9</v>
      </c>
      <c r="K206" s="1">
        <v>10</v>
      </c>
      <c r="L206" s="7">
        <v>6</v>
      </c>
      <c r="M206" s="1">
        <v>9</v>
      </c>
      <c r="N206" s="1">
        <v>2</v>
      </c>
      <c r="O206" s="4">
        <v>10.6985068493151</v>
      </c>
      <c r="P206" s="4">
        <v>0.93333333333333335</v>
      </c>
      <c r="Q206" s="8">
        <v>1200</v>
      </c>
      <c r="R206" s="8">
        <v>198.4</v>
      </c>
      <c r="S206" s="5">
        <v>1.9166666666666701</v>
      </c>
      <c r="T206" s="5">
        <v>0.101333333333333</v>
      </c>
      <c r="U206" s="1">
        <v>96</v>
      </c>
      <c r="V206" s="1">
        <v>53.10657724</v>
      </c>
      <c r="W206" s="1">
        <v>-2.8610528099999999</v>
      </c>
      <c r="X206" s="1">
        <v>1</v>
      </c>
      <c r="Y206" s="1">
        <v>1</v>
      </c>
      <c r="Z206" s="4">
        <f t="shared" si="3"/>
        <v>6.6666666666666652E-2</v>
      </c>
    </row>
    <row r="207" spans="1:26" x14ac:dyDescent="0.15">
      <c r="A207" s="1" t="s">
        <v>229</v>
      </c>
      <c r="B207" s="1" t="s">
        <v>202</v>
      </c>
      <c r="C207" s="1">
        <v>0.47825627984905561</v>
      </c>
      <c r="D207" s="1">
        <v>1.1431319215513732E-2</v>
      </c>
      <c r="E207" s="1">
        <v>2.269160479</v>
      </c>
      <c r="F207" s="1">
        <v>689.79148695724996</v>
      </c>
      <c r="G207" s="5">
        <v>49.733333333333299</v>
      </c>
      <c r="H207" s="4">
        <v>312.732472129793</v>
      </c>
      <c r="I207" s="4">
        <v>1929.83325249773</v>
      </c>
      <c r="J207" s="1">
        <v>25</v>
      </c>
      <c r="K207" s="1">
        <v>17</v>
      </c>
      <c r="L207" s="7">
        <v>7</v>
      </c>
      <c r="M207" s="1">
        <v>11</v>
      </c>
      <c r="N207" s="1">
        <v>2</v>
      </c>
      <c r="O207" s="4">
        <v>10.6985068493151</v>
      </c>
      <c r="P207" s="4">
        <v>0.93333333333333335</v>
      </c>
      <c r="Q207" s="8">
        <v>200</v>
      </c>
      <c r="R207" s="8">
        <v>69.599999999999994</v>
      </c>
      <c r="S207" s="5">
        <v>4.51</v>
      </c>
      <c r="T207" s="5">
        <v>0.74966666666666704</v>
      </c>
      <c r="U207" s="1">
        <v>97</v>
      </c>
      <c r="V207" s="1">
        <v>53.105315619999999</v>
      </c>
      <c r="W207" s="1">
        <v>-2.8589961399999999</v>
      </c>
      <c r="X207" s="1">
        <v>1</v>
      </c>
      <c r="Y207" s="1">
        <v>1</v>
      </c>
      <c r="Z207" s="4">
        <f t="shared" si="3"/>
        <v>6.6666666666666652E-2</v>
      </c>
    </row>
  </sheetData>
  <autoFilter ref="A1:Z207" xr:uid="{17995689-760D-1D47-AF03-526B69B9637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FullDB</vt:lpstr>
      <vt:lpstr>FullDB_AllF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Cuenca</dc:creator>
  <cp:lastModifiedBy>María Cuenca</cp:lastModifiedBy>
  <dcterms:created xsi:type="dcterms:W3CDTF">2024-12-11T09:07:16Z</dcterms:created>
  <dcterms:modified xsi:type="dcterms:W3CDTF">2026-02-05T16:20:21Z</dcterms:modified>
</cp:coreProperties>
</file>