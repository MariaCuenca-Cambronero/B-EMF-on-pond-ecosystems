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cuencacambronero/Dropbox/PONDERFUL/Database/data/Ecosystem functions/Analisis/All/SEM/Article/R1_11Sep2025/NewAnalysis/R_scripts/"/>
    </mc:Choice>
  </mc:AlternateContent>
  <xr:revisionPtr revIDLastSave="0" documentId="13_ncr:1_{24D5B242-CF15-8A47-AA58-6E0E53450690}" xr6:coauthVersionLast="47" xr6:coauthVersionMax="47" xr10:uidLastSave="{00000000-0000-0000-0000-000000000000}"/>
  <bookViews>
    <workbookView xWindow="1000" yWindow="600" windowWidth="31840" windowHeight="21000" xr2:uid="{7E757154-4998-6D47-B56B-D9FD650DC229}"/>
  </bookViews>
  <sheets>
    <sheet name="DB" sheetId="1" r:id="rId1"/>
    <sheet name="FullDB" sheetId="2" r:id="rId2"/>
  </sheets>
  <definedNames>
    <definedName name="_xlnm._FilterDatabase" localSheetId="0" hidden="1">DB!$A$1:$X$61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1" i="2" l="1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Z2" i="2"/>
  <c r="X20" i="1" l="1"/>
  <c r="X21" i="1"/>
  <c r="X22" i="1"/>
  <c r="X8" i="1"/>
  <c r="X2" i="1"/>
  <c r="X3" i="1"/>
  <c r="X4" i="1"/>
  <c r="X14" i="1"/>
  <c r="X9" i="1"/>
  <c r="X15" i="1"/>
  <c r="X10" i="1"/>
  <c r="X16" i="1"/>
  <c r="X17" i="1"/>
  <c r="X18" i="1"/>
  <c r="X11" i="1"/>
  <c r="X19" i="1"/>
  <c r="X23" i="1"/>
  <c r="X12" i="1"/>
  <c r="X13" i="1"/>
  <c r="X24" i="1"/>
  <c r="X25" i="1"/>
  <c r="X26" i="1"/>
  <c r="X5" i="1"/>
  <c r="X27" i="1"/>
  <c r="X28" i="1"/>
  <c r="X29" i="1"/>
  <c r="X30" i="1"/>
  <c r="X31" i="1"/>
  <c r="X6" i="1"/>
  <c r="X7" i="1"/>
  <c r="X32" i="1"/>
  <c r="X33" i="1"/>
  <c r="X34" i="1"/>
  <c r="X35" i="1"/>
  <c r="X36" i="1"/>
  <c r="X37" i="1"/>
  <c r="X50" i="1"/>
  <c r="X51" i="1"/>
  <c r="X52" i="1"/>
  <c r="X53" i="1"/>
  <c r="X54" i="1"/>
  <c r="X55" i="1"/>
  <c r="X56" i="1"/>
  <c r="X57" i="1"/>
  <c r="X58" i="1"/>
  <c r="X59" i="1"/>
  <c r="X60" i="1"/>
  <c r="X61" i="1"/>
  <c r="X38" i="1"/>
  <c r="X39" i="1"/>
  <c r="X40" i="1"/>
  <c r="X41" i="1"/>
  <c r="X42" i="1"/>
  <c r="X43" i="1"/>
  <c r="X44" i="1"/>
  <c r="X45" i="1"/>
  <c r="X46" i="1"/>
  <c r="X47" i="1"/>
  <c r="X48" i="1"/>
  <c r="X49" i="1"/>
</calcChain>
</file>

<file path=xl/sharedStrings.xml><?xml version="1.0" encoding="utf-8"?>
<sst xmlns="http://schemas.openxmlformats.org/spreadsheetml/2006/main" count="410" uniqueCount="98">
  <si>
    <t>Pond_ID</t>
  </si>
  <si>
    <t>Country</t>
  </si>
  <si>
    <t>BMzp</t>
  </si>
  <si>
    <t>BMmi</t>
  </si>
  <si>
    <t>BioMP</t>
  </si>
  <si>
    <t>BioZP</t>
  </si>
  <si>
    <t>BioMI</t>
  </si>
  <si>
    <t>BioAmph</t>
  </si>
  <si>
    <t>FishPA</t>
  </si>
  <si>
    <t>Hydrop</t>
  </si>
  <si>
    <t>Area</t>
  </si>
  <si>
    <t>Depth</t>
  </si>
  <si>
    <t>Latitude</t>
  </si>
  <si>
    <t>Longitude</t>
  </si>
  <si>
    <t>Denmark</t>
  </si>
  <si>
    <t>DK006</t>
  </si>
  <si>
    <t>DK008</t>
  </si>
  <si>
    <t>DK010</t>
  </si>
  <si>
    <t>DK011</t>
  </si>
  <si>
    <t>DK016</t>
  </si>
  <si>
    <t>DK017</t>
  </si>
  <si>
    <t>DK018</t>
  </si>
  <si>
    <t>DK019</t>
  </si>
  <si>
    <t>DK020</t>
  </si>
  <si>
    <t>DK021</t>
  </si>
  <si>
    <t>DK022</t>
  </si>
  <si>
    <t>DK023</t>
  </si>
  <si>
    <t>DK024</t>
  </si>
  <si>
    <t>DK025</t>
  </si>
  <si>
    <t>DK026</t>
  </si>
  <si>
    <t>DK027</t>
  </si>
  <si>
    <t>DK028</t>
  </si>
  <si>
    <t>DK029</t>
  </si>
  <si>
    <t>DK030</t>
  </si>
  <si>
    <t>DK031</t>
  </si>
  <si>
    <t>DK032</t>
  </si>
  <si>
    <t>DK033</t>
  </si>
  <si>
    <t>DK034</t>
  </si>
  <si>
    <t>DK035</t>
  </si>
  <si>
    <t>DK036</t>
  </si>
  <si>
    <t>DK037</t>
  </si>
  <si>
    <t>DK038</t>
  </si>
  <si>
    <t>DK039</t>
  </si>
  <si>
    <t>DK041</t>
  </si>
  <si>
    <t>DK042</t>
  </si>
  <si>
    <t>SP006</t>
  </si>
  <si>
    <t>Spain</t>
  </si>
  <si>
    <t>SP008</t>
  </si>
  <si>
    <t>SP010</t>
  </si>
  <si>
    <t>SP014</t>
  </si>
  <si>
    <t>SP019</t>
  </si>
  <si>
    <t>SP020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</si>
  <si>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</si>
  <si>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</si>
  <si>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</si>
  <si>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</si>
  <si>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</si>
  <si>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</si>
  <si>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</si>
  <si>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</si>
  <si>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</si>
  <si>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</si>
  <si>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</si>
  <si>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</si>
  <si>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</si>
  <si>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</si>
  <si>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</si>
  <si>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</si>
  <si>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</si>
  <si>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</si>
  <si>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</si>
  <si>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</si>
  <si>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</si>
  <si>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</si>
  <si>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</si>
  <si>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</si>
  <si>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CH4</t>
  </si>
  <si>
    <t>CHLa</t>
  </si>
  <si>
    <t>TN</t>
  </si>
  <si>
    <t>TP</t>
  </si>
  <si>
    <t>Plants</t>
  </si>
  <si>
    <t>Aridity</t>
  </si>
  <si>
    <t>Cropland</t>
  </si>
  <si>
    <t>MAT</t>
  </si>
  <si>
    <t>AI</t>
  </si>
  <si>
    <t>Pondscape</t>
  </si>
  <si>
    <t>Laven</t>
  </si>
  <si>
    <t>Avernako</t>
  </si>
  <si>
    <t>Aero</t>
  </si>
  <si>
    <t>Holstebro</t>
  </si>
  <si>
    <t>RyHule</t>
  </si>
  <si>
    <t>Albera</t>
  </si>
  <si>
    <t>Osona</t>
  </si>
  <si>
    <t>Selva</t>
  </si>
  <si>
    <t>Garrtoxa</t>
  </si>
  <si>
    <t>Gavarres</t>
  </si>
  <si>
    <t>Straps</t>
  </si>
  <si>
    <t>NEP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</si>
</sst>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164" fontId="2" fillId="0" borderId="0" xfId="0" applyNumberFormat="1" applyFont="1"/>
    <xf numFmtId="2" fontId="2" fillId="0" borderId="0" xfId="0" applyNumberFormat="1" applyFont="1"/>
    <xf numFmtId="0" fontId="4" fillId="0" borderId="0" xfId="0" applyFont="1"/>
    <xf numFmtId="1" fontId="2" fillId="0" borderId="0" xfId="0" applyNumberFormat="1" applyFont="1"/>
    <xf numFmtId="164" fontId="2" fillId="2" borderId="0" xfId="0" applyNumberFormat="1" applyFont="1" applyFill="1"/>
  </cellXfs>
  <cellStyles count="2">
    <cellStyle name="Normal" xfId="0" builtinId="0"/>
    <cellStyle name="Normal 2" xfId="1" xr:uid="{D791CBF5-C374-B94A-8305-E1253B5767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DA30-2FDB-7A4D-B3BF-2844CF413D35}">
  <dimension ref="A1:Z148"/>
  <sheetViews>
    <sheetView tabSelected="1" zoomScale="150"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I1" sqref="I1:J1048576"/>
    </sheetView>
  </sheetViews>
  <sheetFormatPr baseColWidth="10" defaultRowHeight="16" x14ac:dyDescent="0.2"/>
  <cols>
    <col min="1" max="24" width="10.83203125" style="1"/>
    <col min="27" max="16384" width="10.83203125" style="1"/>
  </cols>
  <sheetData>
    <row r="1" spans="1:24" x14ac:dyDescent="0.2">
      <c r="A1" s="1" t="s">
        <v>0</v>
      </c>
      <c r="B1" s="1" t="s">
        <v>1</v>
      </c>
      <c r="C1" s="1" t="s">
        <v>85</v>
      </c>
      <c r="D1" s="2" t="s">
        <v>76</v>
      </c>
      <c r="E1" s="3" t="s">
        <v>77</v>
      </c>
      <c r="F1" s="3" t="s">
        <v>2</v>
      </c>
      <c r="G1" s="3" t="s">
        <v>3</v>
      </c>
      <c r="H1" s="3" t="s">
        <v>80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83</v>
      </c>
      <c r="N1" s="1" t="s">
        <v>84</v>
      </c>
      <c r="O1" s="1" t="s">
        <v>10</v>
      </c>
      <c r="P1" s="1" t="s">
        <v>11</v>
      </c>
      <c r="Q1" s="1" t="s">
        <v>78</v>
      </c>
      <c r="R1" s="1" t="s">
        <v>79</v>
      </c>
      <c r="S1" s="1" t="s">
        <v>82</v>
      </c>
      <c r="T1" s="1" t="s">
        <v>12</v>
      </c>
      <c r="U1" s="1" t="s">
        <v>13</v>
      </c>
      <c r="V1" s="1" t="s">
        <v>8</v>
      </c>
      <c r="W1" s="1" t="s">
        <v>9</v>
      </c>
      <c r="X1" s="1" t="s">
        <v>81</v>
      </c>
    </row>
    <row r="2" spans="1:24" x14ac:dyDescent="0.2">
      <c r="A2" s="1" t="s">
        <v>19</v>
      </c>
      <c r="B2" s="1" t="s">
        <v>14</v>
      </c>
      <c r="C2" s="1" t="s">
        <v>88</v>
      </c>
      <c r="D2" s="1">
        <v>599.64416554750005</v>
      </c>
      <c r="E2" s="5">
        <v>32.1933333333333</v>
      </c>
      <c r="F2" s="4">
        <v>927.18043137373002</v>
      </c>
      <c r="G2" s="4">
        <v>56.569256071898003</v>
      </c>
      <c r="H2" s="1">
        <v>10</v>
      </c>
      <c r="I2" s="1">
        <v>21</v>
      </c>
      <c r="J2">
        <v>14</v>
      </c>
      <c r="K2" s="1">
        <v>19</v>
      </c>
      <c r="L2" s="1">
        <v>2</v>
      </c>
      <c r="M2" s="4">
        <v>10.209383561643801</v>
      </c>
      <c r="N2" s="4">
        <v>0.95936139332365744</v>
      </c>
      <c r="O2" s="7">
        <v>3360</v>
      </c>
      <c r="P2" s="7">
        <v>150</v>
      </c>
      <c r="Q2" s="5">
        <v>3.5249999999999999</v>
      </c>
      <c r="R2" s="5">
        <v>0.36766666666666697</v>
      </c>
      <c r="S2" s="1">
        <v>93</v>
      </c>
      <c r="T2" s="1">
        <v>54.85707</v>
      </c>
      <c r="U2" s="1">
        <v>10.39068</v>
      </c>
      <c r="V2" s="1">
        <v>1</v>
      </c>
      <c r="W2" s="1">
        <v>1</v>
      </c>
      <c r="X2" s="4">
        <f t="shared" ref="X2:X31" si="0">1-N2</f>
        <v>4.0638606676342559E-2</v>
      </c>
    </row>
    <row r="3" spans="1:24" x14ac:dyDescent="0.2">
      <c r="A3" s="1" t="s">
        <v>20</v>
      </c>
      <c r="B3" s="1" t="s">
        <v>14</v>
      </c>
      <c r="C3" s="1" t="s">
        <v>88</v>
      </c>
      <c r="D3" s="1">
        <v>452.60165372366703</v>
      </c>
      <c r="E3" s="5">
        <v>21.468</v>
      </c>
      <c r="F3" s="4">
        <v>1117.22551420332</v>
      </c>
      <c r="G3" s="4">
        <v>505.34452574058099</v>
      </c>
      <c r="H3" s="1">
        <v>35</v>
      </c>
      <c r="I3" s="1">
        <v>14</v>
      </c>
      <c r="J3">
        <v>15</v>
      </c>
      <c r="K3" s="1">
        <v>20</v>
      </c>
      <c r="L3" s="1">
        <v>3</v>
      </c>
      <c r="M3" s="4">
        <v>9.9439863013698595</v>
      </c>
      <c r="N3" s="8">
        <v>0.97599999999999998</v>
      </c>
      <c r="O3" s="7">
        <v>240</v>
      </c>
      <c r="P3" s="7">
        <v>130</v>
      </c>
      <c r="Q3" s="5">
        <v>1.0033333333333301</v>
      </c>
      <c r="R3" s="5">
        <v>0.12766666666666701</v>
      </c>
      <c r="S3" s="1">
        <v>90</v>
      </c>
      <c r="T3" s="1">
        <v>54.901429999999998</v>
      </c>
      <c r="U3" s="1">
        <v>10.33348</v>
      </c>
      <c r="V3" s="1">
        <v>1</v>
      </c>
      <c r="W3" s="1">
        <v>1</v>
      </c>
      <c r="X3" s="4">
        <f t="shared" si="0"/>
        <v>2.4000000000000021E-2</v>
      </c>
    </row>
    <row r="4" spans="1:24" x14ac:dyDescent="0.2">
      <c r="A4" s="1" t="s">
        <v>21</v>
      </c>
      <c r="B4" s="1" t="s">
        <v>14</v>
      </c>
      <c r="C4" s="1" t="s">
        <v>88</v>
      </c>
      <c r="D4" s="1">
        <v>183.18576537925</v>
      </c>
      <c r="E4" s="5">
        <v>23.8466666666667</v>
      </c>
      <c r="F4" s="4">
        <v>2008.9424880153699</v>
      </c>
      <c r="G4" s="4">
        <v>342.28999868523198</v>
      </c>
      <c r="H4" s="1">
        <v>10</v>
      </c>
      <c r="I4" s="1">
        <v>12</v>
      </c>
      <c r="J4">
        <v>12</v>
      </c>
      <c r="K4" s="1">
        <v>8</v>
      </c>
      <c r="L4" s="1">
        <v>4</v>
      </c>
      <c r="M4" s="4">
        <v>9.9439863013698595</v>
      </c>
      <c r="N4" s="4">
        <v>0.99269005847953218</v>
      </c>
      <c r="O4" s="7">
        <v>820</v>
      </c>
      <c r="P4" s="7">
        <v>60</v>
      </c>
      <c r="Q4" s="5">
        <v>1.8985000000000001</v>
      </c>
      <c r="R4" s="5">
        <v>0.42049999999999998</v>
      </c>
      <c r="S4" s="1">
        <v>90</v>
      </c>
      <c r="T4" s="1">
        <v>54.902290000000001</v>
      </c>
      <c r="U4" s="1">
        <v>10.318659999999999</v>
      </c>
      <c r="V4" s="1">
        <v>1</v>
      </c>
      <c r="W4" s="1">
        <v>0</v>
      </c>
      <c r="X4" s="4">
        <f t="shared" si="0"/>
        <v>7.309941520467822E-3</v>
      </c>
    </row>
    <row r="5" spans="1:24" x14ac:dyDescent="0.2">
      <c r="A5" s="1" t="s">
        <v>37</v>
      </c>
      <c r="B5" s="1" t="s">
        <v>14</v>
      </c>
      <c r="C5" s="1" t="s">
        <v>88</v>
      </c>
      <c r="D5" s="1">
        <v>323.50715966383302</v>
      </c>
      <c r="E5" s="5">
        <v>17.016666666666701</v>
      </c>
      <c r="F5" s="4">
        <v>269.09565056714098</v>
      </c>
      <c r="G5" s="4">
        <v>3943.0460434757001</v>
      </c>
      <c r="H5" s="1">
        <v>25</v>
      </c>
      <c r="I5" s="1">
        <v>22</v>
      </c>
      <c r="J5">
        <v>13</v>
      </c>
      <c r="K5" s="1">
        <v>21</v>
      </c>
      <c r="L5" s="1">
        <v>2</v>
      </c>
      <c r="M5" s="4">
        <v>10.1874383561644</v>
      </c>
      <c r="N5" s="4">
        <v>1.0151285930408471</v>
      </c>
      <c r="O5" s="7">
        <v>190</v>
      </c>
      <c r="P5" s="7">
        <v>50</v>
      </c>
      <c r="Q5" s="5">
        <v>0.92800000000000005</v>
      </c>
      <c r="R5" s="5">
        <v>0.50249999999999995</v>
      </c>
      <c r="S5" s="1">
        <v>80</v>
      </c>
      <c r="T5" s="1">
        <v>54.874319999999997</v>
      </c>
      <c r="U5" s="1">
        <v>10.328749999999999</v>
      </c>
      <c r="V5" s="1">
        <v>1</v>
      </c>
      <c r="W5" s="1">
        <v>0</v>
      </c>
      <c r="X5" s="4">
        <f t="shared" si="0"/>
        <v>-1.5128593040847127E-2</v>
      </c>
    </row>
    <row r="6" spans="1:24" x14ac:dyDescent="0.2">
      <c r="A6" s="1" t="s">
        <v>43</v>
      </c>
      <c r="B6" s="1" t="s">
        <v>14</v>
      </c>
      <c r="C6" s="1" t="s">
        <v>88</v>
      </c>
      <c r="D6" s="1">
        <v>138.71160521224999</v>
      </c>
      <c r="E6" s="5">
        <v>9.3979999999999997</v>
      </c>
      <c r="F6" s="4">
        <v>554.03481975113402</v>
      </c>
      <c r="G6" s="4">
        <v>133.520555179214</v>
      </c>
      <c r="H6" s="1">
        <v>1</v>
      </c>
      <c r="I6" s="1">
        <v>16</v>
      </c>
      <c r="J6">
        <v>14</v>
      </c>
      <c r="K6" s="1">
        <v>13</v>
      </c>
      <c r="L6" s="1">
        <v>3</v>
      </c>
      <c r="M6" s="4">
        <v>10.1874383561644</v>
      </c>
      <c r="N6" s="4">
        <v>1.0104790419161678</v>
      </c>
      <c r="O6" s="7">
        <v>590</v>
      </c>
      <c r="P6" s="7">
        <v>80</v>
      </c>
      <c r="Q6" s="5">
        <v>1.03666666666667</v>
      </c>
      <c r="R6" s="5">
        <v>0.542333333333333</v>
      </c>
      <c r="S6" s="1">
        <v>90</v>
      </c>
      <c r="T6" s="1">
        <v>54.870570000000001</v>
      </c>
      <c r="U6" s="1">
        <v>10.336449999999999</v>
      </c>
      <c r="V6" s="1">
        <v>0</v>
      </c>
      <c r="W6" s="1">
        <v>1</v>
      </c>
      <c r="X6" s="4">
        <f t="shared" si="0"/>
        <v>-1.0479041916167775E-2</v>
      </c>
    </row>
    <row r="7" spans="1:24" x14ac:dyDescent="0.2">
      <c r="A7" s="1" t="s">
        <v>44</v>
      </c>
      <c r="B7" s="1" t="s">
        <v>14</v>
      </c>
      <c r="C7" s="1" t="s">
        <v>88</v>
      </c>
      <c r="D7" s="1">
        <v>401.20697245349999</v>
      </c>
      <c r="E7" s="5">
        <v>222.1275</v>
      </c>
      <c r="F7" s="4">
        <v>698.029992084534</v>
      </c>
      <c r="G7" s="4">
        <v>669.441545383277</v>
      </c>
      <c r="H7" s="1">
        <v>1</v>
      </c>
      <c r="I7" s="1">
        <v>12</v>
      </c>
      <c r="J7">
        <v>19</v>
      </c>
      <c r="K7" s="1">
        <v>14</v>
      </c>
      <c r="L7" s="1">
        <v>3</v>
      </c>
      <c r="M7" s="4">
        <v>9.9657671232876694</v>
      </c>
      <c r="N7" s="4">
        <v>1.0150375939849625</v>
      </c>
      <c r="O7" s="7">
        <v>645</v>
      </c>
      <c r="P7" s="7">
        <v>60</v>
      </c>
      <c r="Q7" s="5">
        <v>3.9503333333333299</v>
      </c>
      <c r="R7" s="5">
        <v>0.913333333333333</v>
      </c>
      <c r="S7" s="1">
        <v>80</v>
      </c>
      <c r="T7" s="1">
        <v>54.865519999999997</v>
      </c>
      <c r="U7" s="1">
        <v>10.34834</v>
      </c>
      <c r="V7" s="1">
        <v>1</v>
      </c>
      <c r="W7" s="1">
        <v>1</v>
      </c>
      <c r="X7" s="4">
        <f t="shared" si="0"/>
        <v>-1.5037593984962516E-2</v>
      </c>
    </row>
    <row r="8" spans="1:24" x14ac:dyDescent="0.2">
      <c r="A8" s="1" t="s">
        <v>18</v>
      </c>
      <c r="B8" s="1" t="s">
        <v>14</v>
      </c>
      <c r="C8" s="1" t="s">
        <v>87</v>
      </c>
      <c r="D8" s="1">
        <v>210.84861848560001</v>
      </c>
      <c r="E8" s="5">
        <v>15.675000000000001</v>
      </c>
      <c r="F8" s="4">
        <v>1542.22383363022</v>
      </c>
      <c r="G8" s="4">
        <v>86.680738564865507</v>
      </c>
      <c r="H8" s="1">
        <v>10</v>
      </c>
      <c r="I8" s="1">
        <v>6</v>
      </c>
      <c r="J8">
        <v>13</v>
      </c>
      <c r="K8" s="1">
        <v>11</v>
      </c>
      <c r="L8" s="1">
        <v>3</v>
      </c>
      <c r="M8" s="4">
        <v>9.9439863013698595</v>
      </c>
      <c r="N8" s="4">
        <v>0.96592592592592597</v>
      </c>
      <c r="O8" s="7">
        <v>500</v>
      </c>
      <c r="P8" s="7">
        <v>70</v>
      </c>
      <c r="Q8" s="5">
        <v>2.2246666666666699</v>
      </c>
      <c r="R8" s="5">
        <v>0.76066666666666705</v>
      </c>
      <c r="S8" s="1">
        <v>80</v>
      </c>
      <c r="T8" s="1">
        <v>55.030059999999999</v>
      </c>
      <c r="U8" s="1">
        <v>10.26042</v>
      </c>
      <c r="V8" s="1">
        <v>1</v>
      </c>
      <c r="W8" s="1">
        <v>1</v>
      </c>
      <c r="X8" s="4">
        <f t="shared" si="0"/>
        <v>3.4074074074074034E-2</v>
      </c>
    </row>
    <row r="9" spans="1:24" x14ac:dyDescent="0.2">
      <c r="A9" s="1" t="s">
        <v>23</v>
      </c>
      <c r="B9" s="1" t="s">
        <v>14</v>
      </c>
      <c r="C9" s="1" t="s">
        <v>87</v>
      </c>
      <c r="D9" s="1">
        <v>330.30620537733301</v>
      </c>
      <c r="E9" s="5">
        <v>16.605</v>
      </c>
      <c r="F9" s="4">
        <v>689.30529730407295</v>
      </c>
      <c r="G9" s="4">
        <v>252.55919342081799</v>
      </c>
      <c r="H9" s="1">
        <v>60</v>
      </c>
      <c r="I9" s="1">
        <v>15</v>
      </c>
      <c r="J9">
        <v>16</v>
      </c>
      <c r="K9" s="1">
        <v>13</v>
      </c>
      <c r="L9" s="1">
        <v>4</v>
      </c>
      <c r="M9" s="4">
        <v>9.9439863013698595</v>
      </c>
      <c r="N9" s="4">
        <v>0.96449704142011838</v>
      </c>
      <c r="O9" s="7">
        <v>830</v>
      </c>
      <c r="P9" s="7">
        <v>70</v>
      </c>
      <c r="Q9" s="5">
        <v>1.909</v>
      </c>
      <c r="R9" s="5">
        <v>0.36733333333333301</v>
      </c>
      <c r="S9" s="1">
        <v>80</v>
      </c>
      <c r="T9" s="1">
        <v>55.02196</v>
      </c>
      <c r="U9" s="1">
        <v>10.259309999999999</v>
      </c>
      <c r="V9" s="1">
        <v>0</v>
      </c>
      <c r="W9" s="1">
        <v>1</v>
      </c>
      <c r="X9" s="4">
        <f t="shared" si="0"/>
        <v>3.5502958579881616E-2</v>
      </c>
    </row>
    <row r="10" spans="1:24" x14ac:dyDescent="0.2">
      <c r="A10" s="1" t="s">
        <v>25</v>
      </c>
      <c r="B10" s="1" t="s">
        <v>14</v>
      </c>
      <c r="C10" s="1" t="s">
        <v>87</v>
      </c>
      <c r="D10" s="1">
        <v>481.91166636650001</v>
      </c>
      <c r="E10" s="5">
        <v>21.92</v>
      </c>
      <c r="F10" s="4">
        <v>308.84161020676697</v>
      </c>
      <c r="G10" s="4">
        <v>277.56376706018602</v>
      </c>
      <c r="H10" s="1">
        <v>1</v>
      </c>
      <c r="I10" s="1">
        <v>22</v>
      </c>
      <c r="J10">
        <v>12</v>
      </c>
      <c r="K10" s="1">
        <v>18</v>
      </c>
      <c r="L10" s="1">
        <v>4</v>
      </c>
      <c r="M10" s="4">
        <v>9.9439863013698595</v>
      </c>
      <c r="N10" s="4">
        <v>0.96307237813884783</v>
      </c>
      <c r="O10" s="7">
        <v>770</v>
      </c>
      <c r="P10" s="7">
        <v>70</v>
      </c>
      <c r="Q10" s="5">
        <v>1.50966666666667</v>
      </c>
      <c r="R10" s="5">
        <v>0.835666666666667</v>
      </c>
      <c r="S10" s="1">
        <v>80</v>
      </c>
      <c r="T10" s="1">
        <v>55.021419999999999</v>
      </c>
      <c r="U10" s="1">
        <v>10.256119999999999</v>
      </c>
      <c r="V10" s="1">
        <v>0</v>
      </c>
      <c r="W10" s="1">
        <v>1</v>
      </c>
      <c r="X10" s="4">
        <f t="shared" si="0"/>
        <v>3.6927621861152171E-2</v>
      </c>
    </row>
    <row r="11" spans="1:24" x14ac:dyDescent="0.2">
      <c r="A11" s="1" t="s">
        <v>29</v>
      </c>
      <c r="B11" s="1" t="s">
        <v>14</v>
      </c>
      <c r="C11" s="1" t="s">
        <v>87</v>
      </c>
      <c r="D11" s="1">
        <v>105.7708460635</v>
      </c>
      <c r="E11" s="5">
        <v>40.027500000000003</v>
      </c>
      <c r="F11" s="4">
        <v>450.42844400278398</v>
      </c>
      <c r="G11" s="4">
        <v>55.301541969318599</v>
      </c>
      <c r="H11" s="1">
        <v>1</v>
      </c>
      <c r="I11" s="1">
        <v>14</v>
      </c>
      <c r="J11">
        <v>14</v>
      </c>
      <c r="K11" s="1">
        <v>11</v>
      </c>
      <c r="L11" s="1">
        <v>3</v>
      </c>
      <c r="M11" s="4">
        <v>9.9439863013698595</v>
      </c>
      <c r="N11" s="4">
        <v>0.96449704142011838</v>
      </c>
      <c r="O11" s="7">
        <v>710</v>
      </c>
      <c r="P11" s="7">
        <v>70</v>
      </c>
      <c r="Q11" s="5">
        <v>1.6783333333333299</v>
      </c>
      <c r="R11" s="5">
        <v>0.87566666666666704</v>
      </c>
      <c r="S11" s="1">
        <v>80</v>
      </c>
      <c r="T11" s="1">
        <v>55.022359999999999</v>
      </c>
      <c r="U11" s="1">
        <v>10.264340000000001</v>
      </c>
      <c r="V11" s="1">
        <v>1</v>
      </c>
      <c r="W11" s="1">
        <v>1</v>
      </c>
      <c r="X11" s="4">
        <f t="shared" si="0"/>
        <v>3.5502958579881616E-2</v>
      </c>
    </row>
    <row r="12" spans="1:24" x14ac:dyDescent="0.2">
      <c r="A12" s="1" t="s">
        <v>32</v>
      </c>
      <c r="B12" s="1" t="s">
        <v>14</v>
      </c>
      <c r="C12" s="1" t="s">
        <v>87</v>
      </c>
      <c r="D12" s="1">
        <v>203.1254751255</v>
      </c>
      <c r="E12" s="5">
        <v>21.362500000000001</v>
      </c>
      <c r="F12" s="4">
        <v>941.009682443771</v>
      </c>
      <c r="G12" s="4">
        <v>567.61851177214805</v>
      </c>
      <c r="H12" s="1">
        <v>10</v>
      </c>
      <c r="I12" s="1">
        <v>10</v>
      </c>
      <c r="J12">
        <v>19</v>
      </c>
      <c r="K12" s="1">
        <v>16</v>
      </c>
      <c r="L12" s="1">
        <v>3</v>
      </c>
      <c r="M12" s="4">
        <v>9.9439863013698595</v>
      </c>
      <c r="N12" s="4">
        <v>0.9546120058565154</v>
      </c>
      <c r="O12" s="7">
        <v>500</v>
      </c>
      <c r="P12" s="7">
        <v>60</v>
      </c>
      <c r="Q12" s="5">
        <v>2.2233333333333301</v>
      </c>
      <c r="R12" s="5">
        <v>0.32333333333333297</v>
      </c>
      <c r="S12" s="1">
        <v>100</v>
      </c>
      <c r="T12" s="1">
        <v>55.03152</v>
      </c>
      <c r="U12" s="1">
        <v>10.245559999999999</v>
      </c>
      <c r="V12" s="1">
        <v>0</v>
      </c>
      <c r="W12" s="1">
        <v>1</v>
      </c>
      <c r="X12" s="4">
        <f t="shared" si="0"/>
        <v>4.53879941434846E-2</v>
      </c>
    </row>
    <row r="13" spans="1:24" x14ac:dyDescent="0.2">
      <c r="A13" s="1" t="s">
        <v>33</v>
      </c>
      <c r="B13" s="1" t="s">
        <v>14</v>
      </c>
      <c r="C13" s="1" t="s">
        <v>87</v>
      </c>
      <c r="D13" s="1">
        <v>328.30703383579998</v>
      </c>
      <c r="E13" s="5">
        <v>23.76</v>
      </c>
      <c r="F13" s="4">
        <v>974.98962990882796</v>
      </c>
      <c r="G13" s="4">
        <v>1537.9346894297</v>
      </c>
      <c r="H13" s="1">
        <v>1</v>
      </c>
      <c r="I13" s="1">
        <v>13</v>
      </c>
      <c r="J13">
        <v>15</v>
      </c>
      <c r="K13" s="1">
        <v>19</v>
      </c>
      <c r="L13" s="1">
        <v>4</v>
      </c>
      <c r="M13" s="4">
        <v>9.9439863013698595</v>
      </c>
      <c r="N13" s="4">
        <v>0.9546120058565154</v>
      </c>
      <c r="O13" s="7">
        <v>850</v>
      </c>
      <c r="P13" s="7">
        <v>50</v>
      </c>
      <c r="Q13" s="5">
        <v>1.8463333333333301</v>
      </c>
      <c r="R13" s="5">
        <v>0.35766666666666702</v>
      </c>
      <c r="S13" s="1">
        <v>85</v>
      </c>
      <c r="T13" s="1">
        <v>55.031950000000002</v>
      </c>
      <c r="U13" s="1">
        <v>10.246919999999999</v>
      </c>
      <c r="V13" s="1">
        <v>0</v>
      </c>
      <c r="W13" s="1">
        <v>1</v>
      </c>
      <c r="X13" s="4">
        <f t="shared" si="0"/>
        <v>4.53879941434846E-2</v>
      </c>
    </row>
    <row r="14" spans="1:24" x14ac:dyDescent="0.2">
      <c r="A14" s="1" t="s">
        <v>22</v>
      </c>
      <c r="B14" s="1" t="s">
        <v>14</v>
      </c>
      <c r="C14" s="1" t="s">
        <v>89</v>
      </c>
      <c r="D14" s="1">
        <v>41.925172130833303</v>
      </c>
      <c r="E14" s="5">
        <v>20.635999999999999</v>
      </c>
      <c r="F14" s="4">
        <v>299.71425597780802</v>
      </c>
      <c r="G14" s="4">
        <v>246.57987240464001</v>
      </c>
      <c r="H14" s="1">
        <v>45</v>
      </c>
      <c r="I14" s="1">
        <v>9</v>
      </c>
      <c r="J14">
        <v>17</v>
      </c>
      <c r="K14" s="1">
        <v>19</v>
      </c>
      <c r="L14" s="1">
        <v>2</v>
      </c>
      <c r="M14" s="4">
        <v>9.1954931506849302</v>
      </c>
      <c r="N14" s="4">
        <v>1.0708074534161491</v>
      </c>
      <c r="O14" s="7">
        <v>1420</v>
      </c>
      <c r="P14" s="7">
        <v>140</v>
      </c>
      <c r="Q14" s="5">
        <v>1.16933333333333</v>
      </c>
      <c r="R14" s="5">
        <v>0.112</v>
      </c>
      <c r="S14" s="1">
        <v>0</v>
      </c>
      <c r="T14" s="1">
        <v>56.27402</v>
      </c>
      <c r="U14" s="1">
        <v>8.4931699999999992</v>
      </c>
      <c r="V14" s="1">
        <v>0</v>
      </c>
      <c r="W14" s="1">
        <v>1</v>
      </c>
      <c r="X14" s="4">
        <f t="shared" si="0"/>
        <v>-7.0807453416149135E-2</v>
      </c>
    </row>
    <row r="15" spans="1:24" x14ac:dyDescent="0.2">
      <c r="A15" s="1" t="s">
        <v>24</v>
      </c>
      <c r="B15" s="1" t="s">
        <v>14</v>
      </c>
      <c r="C15" s="1" t="s">
        <v>89</v>
      </c>
      <c r="D15" s="1">
        <v>43.292197645000002</v>
      </c>
      <c r="E15" s="5">
        <v>7.17</v>
      </c>
      <c r="F15" s="4">
        <v>160.95239738016599</v>
      </c>
      <c r="G15" s="4">
        <v>1024.5026173886599</v>
      </c>
      <c r="H15" s="1">
        <v>35</v>
      </c>
      <c r="I15" s="1">
        <v>15</v>
      </c>
      <c r="J15">
        <v>15</v>
      </c>
      <c r="K15" s="1">
        <v>26</v>
      </c>
      <c r="L15" s="1">
        <v>2</v>
      </c>
      <c r="M15" s="4">
        <v>9.1954931506849302</v>
      </c>
      <c r="N15" s="4">
        <v>1.0602706027060271</v>
      </c>
      <c r="O15" s="7">
        <v>3660</v>
      </c>
      <c r="P15" s="7">
        <v>90</v>
      </c>
      <c r="Q15" s="5">
        <v>0.23799999999999999</v>
      </c>
      <c r="R15" s="5">
        <v>0.163333333333333</v>
      </c>
      <c r="S15" s="1">
        <v>0</v>
      </c>
      <c r="T15" s="1">
        <v>56.283670000000001</v>
      </c>
      <c r="U15" s="1">
        <v>8.4651899999999998</v>
      </c>
      <c r="V15" s="1">
        <v>1</v>
      </c>
      <c r="W15" s="1">
        <v>1</v>
      </c>
      <c r="X15" s="4">
        <f t="shared" si="0"/>
        <v>-6.0270602706027132E-2</v>
      </c>
    </row>
    <row r="16" spans="1:24" x14ac:dyDescent="0.2">
      <c r="A16" s="1" t="s">
        <v>26</v>
      </c>
      <c r="B16" s="1" t="s">
        <v>14</v>
      </c>
      <c r="C16" s="1" t="s">
        <v>89</v>
      </c>
      <c r="D16" s="1">
        <v>229.55621989883301</v>
      </c>
      <c r="E16" s="5">
        <v>62.878</v>
      </c>
      <c r="F16" s="4">
        <v>2033.9830261397799</v>
      </c>
      <c r="G16" s="4">
        <v>484.75796235304699</v>
      </c>
      <c r="H16" s="1">
        <v>10</v>
      </c>
      <c r="I16" s="1">
        <v>7</v>
      </c>
      <c r="J16">
        <v>12</v>
      </c>
      <c r="K16" s="1">
        <v>21</v>
      </c>
      <c r="L16" s="1">
        <v>3</v>
      </c>
      <c r="M16" s="4">
        <v>9.1954931506849302</v>
      </c>
      <c r="N16" s="4">
        <v>1.0575275397796817</v>
      </c>
      <c r="O16" s="7">
        <v>1690</v>
      </c>
      <c r="P16" s="7">
        <v>150</v>
      </c>
      <c r="Q16" s="5">
        <v>2.6356666666666699</v>
      </c>
      <c r="R16" s="5">
        <v>0.57799999999999996</v>
      </c>
      <c r="S16" s="1">
        <v>85</v>
      </c>
      <c r="T16" s="1">
        <v>56.211350000000003</v>
      </c>
      <c r="U16" s="1">
        <v>8.4754100000000001</v>
      </c>
      <c r="V16" s="1">
        <v>1</v>
      </c>
      <c r="W16" s="1">
        <v>1</v>
      </c>
      <c r="X16" s="4">
        <f t="shared" si="0"/>
        <v>-5.7527539779681724E-2</v>
      </c>
    </row>
    <row r="17" spans="1:24" x14ac:dyDescent="0.2">
      <c r="A17" s="1" t="s">
        <v>27</v>
      </c>
      <c r="B17" s="1" t="s">
        <v>14</v>
      </c>
      <c r="C17" s="1" t="s">
        <v>89</v>
      </c>
      <c r="D17" s="1">
        <v>55.224279987000003</v>
      </c>
      <c r="E17" s="5">
        <v>45.601999999999997</v>
      </c>
      <c r="F17" s="4">
        <v>3267.2421461182798</v>
      </c>
      <c r="G17" s="4">
        <v>272.85399166097</v>
      </c>
      <c r="H17" s="1">
        <v>10</v>
      </c>
      <c r="I17" s="1">
        <v>12</v>
      </c>
      <c r="J17">
        <v>15</v>
      </c>
      <c r="K17" s="1">
        <v>14</v>
      </c>
      <c r="L17" s="1">
        <v>3</v>
      </c>
      <c r="M17" s="4">
        <v>9.1954931506849302</v>
      </c>
      <c r="N17" s="4">
        <v>1.0614250614250613</v>
      </c>
      <c r="O17" s="7">
        <v>2170</v>
      </c>
      <c r="P17" s="7">
        <v>60</v>
      </c>
      <c r="Q17" s="5">
        <v>0.99566666666666703</v>
      </c>
      <c r="R17" s="5">
        <v>0.27700000000000002</v>
      </c>
      <c r="S17" s="1">
        <v>30</v>
      </c>
      <c r="T17" s="1">
        <v>56.219259999999998</v>
      </c>
      <c r="U17" s="1">
        <v>8.4891299999999994</v>
      </c>
      <c r="V17" s="1">
        <v>1</v>
      </c>
      <c r="W17" s="1">
        <v>1</v>
      </c>
      <c r="X17" s="4">
        <f t="shared" si="0"/>
        <v>-6.1425061425061322E-2</v>
      </c>
    </row>
    <row r="18" spans="1:24" x14ac:dyDescent="0.2">
      <c r="A18" s="1" t="s">
        <v>28</v>
      </c>
      <c r="B18" s="1" t="s">
        <v>14</v>
      </c>
      <c r="C18" s="1" t="s">
        <v>89</v>
      </c>
      <c r="D18" s="1">
        <v>5.7428181281428596</v>
      </c>
      <c r="E18" s="5">
        <v>8.952</v>
      </c>
      <c r="F18" s="4">
        <v>198.835276190298</v>
      </c>
      <c r="G18" s="4">
        <v>225.530467135355</v>
      </c>
      <c r="H18" s="1">
        <v>35</v>
      </c>
      <c r="I18" s="1">
        <v>10</v>
      </c>
      <c r="J18">
        <v>18</v>
      </c>
      <c r="K18" s="1">
        <v>12</v>
      </c>
      <c r="L18" s="1">
        <v>1</v>
      </c>
      <c r="M18" s="4">
        <v>9.1954931506849302</v>
      </c>
      <c r="N18" s="4">
        <v>1.0575275397796817</v>
      </c>
      <c r="O18" s="7">
        <v>2600</v>
      </c>
      <c r="P18" s="7">
        <v>110</v>
      </c>
      <c r="Q18" s="5">
        <v>0.51200000000000001</v>
      </c>
      <c r="R18" s="5">
        <v>0.119333333333333</v>
      </c>
      <c r="S18" s="1">
        <v>75</v>
      </c>
      <c r="T18" s="1">
        <v>56.244340000000001</v>
      </c>
      <c r="U18" s="1">
        <v>8.4433699999999998</v>
      </c>
      <c r="V18" s="1">
        <v>1</v>
      </c>
      <c r="W18" s="1">
        <v>1</v>
      </c>
      <c r="X18" s="4">
        <f t="shared" si="0"/>
        <v>-5.7527539779681724E-2</v>
      </c>
    </row>
    <row r="19" spans="1:24" x14ac:dyDescent="0.2">
      <c r="A19" s="1" t="s">
        <v>30</v>
      </c>
      <c r="B19" s="1" t="s">
        <v>14</v>
      </c>
      <c r="C19" s="1" t="s">
        <v>89</v>
      </c>
      <c r="D19" s="1">
        <v>16.198246463866699</v>
      </c>
      <c r="E19" s="5">
        <v>19.4725</v>
      </c>
      <c r="F19" s="4">
        <v>2759.1253852329501</v>
      </c>
      <c r="G19" s="4">
        <v>951.83176746890604</v>
      </c>
      <c r="H19" s="1">
        <v>35</v>
      </c>
      <c r="I19" s="1">
        <v>12</v>
      </c>
      <c r="J19">
        <v>20</v>
      </c>
      <c r="K19" s="1">
        <v>15</v>
      </c>
      <c r="L19" s="1">
        <v>4</v>
      </c>
      <c r="M19" s="4">
        <v>9.1954931506849302</v>
      </c>
      <c r="N19" s="4">
        <v>1.047677261613692</v>
      </c>
      <c r="O19" s="7">
        <v>3770</v>
      </c>
      <c r="P19" s="7">
        <v>90</v>
      </c>
      <c r="Q19" s="5">
        <v>0.79666666666666697</v>
      </c>
      <c r="R19" s="5">
        <v>0.18566666666666701</v>
      </c>
      <c r="S19" s="1">
        <v>0</v>
      </c>
      <c r="T19" s="1">
        <v>56.249450000000003</v>
      </c>
      <c r="U19" s="1">
        <v>8.4082100000000004</v>
      </c>
      <c r="V19" s="1">
        <v>0</v>
      </c>
      <c r="W19" s="1">
        <v>1</v>
      </c>
      <c r="X19" s="4">
        <f t="shared" si="0"/>
        <v>-4.7677261613692012E-2</v>
      </c>
    </row>
    <row r="20" spans="1:24" x14ac:dyDescent="0.2">
      <c r="A20" s="1" t="s">
        <v>15</v>
      </c>
      <c r="B20" s="1" t="s">
        <v>14</v>
      </c>
      <c r="C20" s="1" t="s">
        <v>86</v>
      </c>
      <c r="D20" s="1">
        <v>1100.2941028974999</v>
      </c>
      <c r="E20" s="5">
        <v>57.463333333333303</v>
      </c>
      <c r="F20" s="4">
        <v>292.18565891780497</v>
      </c>
      <c r="G20" s="4">
        <v>906.45320424617296</v>
      </c>
      <c r="H20" s="1">
        <v>1</v>
      </c>
      <c r="I20" s="1">
        <v>13</v>
      </c>
      <c r="J20">
        <v>17</v>
      </c>
      <c r="K20" s="1">
        <v>24</v>
      </c>
      <c r="L20" s="1">
        <v>1</v>
      </c>
      <c r="M20" s="4">
        <v>8.83832876712329</v>
      </c>
      <c r="N20" s="4">
        <v>0.99014084507042255</v>
      </c>
      <c r="O20" s="7">
        <v>195</v>
      </c>
      <c r="P20" s="7">
        <v>70</v>
      </c>
      <c r="Q20" s="5">
        <v>3.2853333333333299</v>
      </c>
      <c r="R20" s="5">
        <v>0.40866666666666701</v>
      </c>
      <c r="S20" s="1">
        <v>50</v>
      </c>
      <c r="T20" s="1">
        <v>56.181840000000001</v>
      </c>
      <c r="U20" s="1">
        <v>9.66953</v>
      </c>
      <c r="V20" s="1">
        <v>1</v>
      </c>
      <c r="W20" s="1">
        <v>1</v>
      </c>
      <c r="X20" s="4">
        <f t="shared" si="0"/>
        <v>9.8591549295774517E-3</v>
      </c>
    </row>
    <row r="21" spans="1:24" x14ac:dyDescent="0.2">
      <c r="A21" s="1" t="s">
        <v>16</v>
      </c>
      <c r="B21" s="1" t="s">
        <v>14</v>
      </c>
      <c r="C21" s="1" t="s">
        <v>86</v>
      </c>
      <c r="D21" s="1">
        <v>76.692046457199993</v>
      </c>
      <c r="E21" s="5">
        <v>35.876666666666701</v>
      </c>
      <c r="F21" s="4">
        <v>272.26302991694001</v>
      </c>
      <c r="G21" s="4">
        <v>1143.6114845217201</v>
      </c>
      <c r="H21" s="1">
        <v>1</v>
      </c>
      <c r="I21" s="1">
        <v>10</v>
      </c>
      <c r="J21">
        <v>13</v>
      </c>
      <c r="K21" s="1">
        <v>16</v>
      </c>
      <c r="L21" s="1">
        <v>3</v>
      </c>
      <c r="M21" s="4">
        <v>8.83832876712329</v>
      </c>
      <c r="N21" s="4">
        <v>0.99434229137199437</v>
      </c>
      <c r="O21" s="7">
        <v>340</v>
      </c>
      <c r="P21" s="7">
        <v>70</v>
      </c>
      <c r="Q21" s="5">
        <v>0.72933333333333294</v>
      </c>
      <c r="R21" s="5">
        <v>0.202333333333333</v>
      </c>
      <c r="S21" s="1">
        <v>85</v>
      </c>
      <c r="T21" s="1">
        <v>56.174520000000001</v>
      </c>
      <c r="U21" s="1">
        <v>9.6714800000000007</v>
      </c>
      <c r="V21" s="1">
        <v>1</v>
      </c>
      <c r="W21" s="1">
        <v>1</v>
      </c>
      <c r="X21" s="4">
        <f t="shared" si="0"/>
        <v>5.657708628005631E-3</v>
      </c>
    </row>
    <row r="22" spans="1:24" x14ac:dyDescent="0.2">
      <c r="A22" s="1" t="s">
        <v>17</v>
      </c>
      <c r="B22" s="1" t="s">
        <v>14</v>
      </c>
      <c r="C22" s="1" t="s">
        <v>86</v>
      </c>
      <c r="D22" s="1">
        <v>59.988713877125001</v>
      </c>
      <c r="E22" s="5">
        <v>19.313333333333301</v>
      </c>
      <c r="F22" s="4">
        <v>877.993099301435</v>
      </c>
      <c r="G22" s="4">
        <v>806.149358366868</v>
      </c>
      <c r="H22" s="1">
        <v>10</v>
      </c>
      <c r="I22" s="1">
        <v>16</v>
      </c>
      <c r="J22">
        <v>18</v>
      </c>
      <c r="K22" s="1">
        <v>22</v>
      </c>
      <c r="L22" s="1">
        <v>2</v>
      </c>
      <c r="M22" s="4">
        <v>8.83832876712329</v>
      </c>
      <c r="N22" s="4">
        <v>0.99296765119549935</v>
      </c>
      <c r="O22" s="7">
        <v>1565</v>
      </c>
      <c r="P22" s="7">
        <v>70</v>
      </c>
      <c r="Q22" s="5">
        <v>1.286</v>
      </c>
      <c r="R22" s="5">
        <v>0.166333333333333</v>
      </c>
      <c r="S22" s="1">
        <v>65</v>
      </c>
      <c r="T22" s="1">
        <v>56.151710000000001</v>
      </c>
      <c r="U22" s="1">
        <v>9.7028300000000005</v>
      </c>
      <c r="V22" s="1">
        <v>1</v>
      </c>
      <c r="W22" s="1">
        <v>1</v>
      </c>
      <c r="X22" s="4">
        <f t="shared" si="0"/>
        <v>7.0323488045006544E-3</v>
      </c>
    </row>
    <row r="23" spans="1:24" x14ac:dyDescent="0.2">
      <c r="A23" s="1" t="s">
        <v>31</v>
      </c>
      <c r="B23" s="1" t="s">
        <v>14</v>
      </c>
      <c r="C23" s="1" t="s">
        <v>86</v>
      </c>
      <c r="D23" s="1">
        <v>222.094289153125</v>
      </c>
      <c r="E23" s="5">
        <v>66.346666666666707</v>
      </c>
      <c r="F23" s="4">
        <v>223.87834372079999</v>
      </c>
      <c r="G23" s="4">
        <v>794.37534066472494</v>
      </c>
      <c r="H23" s="1">
        <v>10</v>
      </c>
      <c r="I23" s="1">
        <v>22</v>
      </c>
      <c r="J23">
        <v>12</v>
      </c>
      <c r="K23" s="1">
        <v>25</v>
      </c>
      <c r="L23" s="1">
        <v>2</v>
      </c>
      <c r="M23" s="4">
        <v>8.83832876712329</v>
      </c>
      <c r="N23" s="4">
        <v>0.9817415730337079</v>
      </c>
      <c r="O23" s="7">
        <v>2700</v>
      </c>
      <c r="P23" s="7">
        <v>190</v>
      </c>
      <c r="Q23" s="5">
        <v>1.8013333333333299</v>
      </c>
      <c r="R23" s="5">
        <v>0.57033333333333303</v>
      </c>
      <c r="S23" s="1">
        <v>85</v>
      </c>
      <c r="T23" s="1">
        <v>56.142319999999998</v>
      </c>
      <c r="U23" s="1">
        <v>9.7152399999999997</v>
      </c>
      <c r="V23" s="1">
        <v>1</v>
      </c>
      <c r="W23" s="1">
        <v>1</v>
      </c>
      <c r="X23" s="4">
        <f t="shared" si="0"/>
        <v>1.8258426966292096E-2</v>
      </c>
    </row>
    <row r="24" spans="1:24" x14ac:dyDescent="0.2">
      <c r="A24" s="1" t="s">
        <v>34</v>
      </c>
      <c r="B24" s="1" t="s">
        <v>14</v>
      </c>
      <c r="C24" s="1" t="s">
        <v>86</v>
      </c>
      <c r="D24" s="1">
        <v>115.785783058833</v>
      </c>
      <c r="E24" s="5">
        <v>17.066666666666698</v>
      </c>
      <c r="F24" s="4">
        <v>1452.6489995367499</v>
      </c>
      <c r="G24" s="4">
        <v>1219.8041719145201</v>
      </c>
      <c r="H24" s="1">
        <v>35</v>
      </c>
      <c r="I24" s="1">
        <v>14</v>
      </c>
      <c r="J24">
        <v>14</v>
      </c>
      <c r="K24" s="1">
        <v>25</v>
      </c>
      <c r="L24" s="1">
        <v>3</v>
      </c>
      <c r="M24" s="4">
        <v>8.83832876712329</v>
      </c>
      <c r="N24" s="4">
        <v>0.97625698324022347</v>
      </c>
      <c r="O24" s="7">
        <v>1380</v>
      </c>
      <c r="P24" s="7">
        <v>140</v>
      </c>
      <c r="Q24" s="5">
        <v>0.84833333333333305</v>
      </c>
      <c r="R24" s="5">
        <v>0.19966666666666699</v>
      </c>
      <c r="S24" s="1">
        <v>95</v>
      </c>
      <c r="T24" s="1">
        <v>56.138719999999999</v>
      </c>
      <c r="U24" s="1">
        <v>9.7167100000000008</v>
      </c>
      <c r="V24" s="1">
        <v>1</v>
      </c>
      <c r="W24" s="1">
        <v>1</v>
      </c>
      <c r="X24" s="4">
        <f t="shared" si="0"/>
        <v>2.3743016759776525E-2</v>
      </c>
    </row>
    <row r="25" spans="1:24" x14ac:dyDescent="0.2">
      <c r="A25" s="1" t="s">
        <v>35</v>
      </c>
      <c r="B25" s="1" t="s">
        <v>14</v>
      </c>
      <c r="C25" s="1" t="s">
        <v>86</v>
      </c>
      <c r="D25" s="1">
        <v>72.063111354599997</v>
      </c>
      <c r="E25" s="5">
        <v>15.37</v>
      </c>
      <c r="F25" s="4">
        <v>1469.7728700923101</v>
      </c>
      <c r="G25" s="4">
        <v>1199.36131530494</v>
      </c>
      <c r="H25" s="1">
        <v>10</v>
      </c>
      <c r="I25" s="1">
        <v>19</v>
      </c>
      <c r="J25">
        <v>18</v>
      </c>
      <c r="K25" s="1">
        <v>19</v>
      </c>
      <c r="L25" s="1">
        <v>1</v>
      </c>
      <c r="M25" s="4">
        <v>8.83832876712329</v>
      </c>
      <c r="N25" s="4">
        <v>0.98603351955307261</v>
      </c>
      <c r="O25" s="7">
        <v>1240</v>
      </c>
      <c r="P25" s="7">
        <v>190</v>
      </c>
      <c r="Q25" s="5">
        <v>1.2270000000000001</v>
      </c>
      <c r="R25" s="5">
        <v>0.27733333333333299</v>
      </c>
      <c r="S25" s="1">
        <v>75</v>
      </c>
      <c r="T25" s="1">
        <v>56.129809999999999</v>
      </c>
      <c r="U25" s="1">
        <v>9.7020199999999992</v>
      </c>
      <c r="V25" s="1">
        <v>0</v>
      </c>
      <c r="W25" s="1">
        <v>1</v>
      </c>
      <c r="X25" s="4">
        <f t="shared" si="0"/>
        <v>1.3966480446927387E-2</v>
      </c>
    </row>
    <row r="26" spans="1:24" x14ac:dyDescent="0.2">
      <c r="A26" s="1" t="s">
        <v>36</v>
      </c>
      <c r="B26" s="1" t="s">
        <v>14</v>
      </c>
      <c r="C26" s="1" t="s">
        <v>90</v>
      </c>
      <c r="D26" s="1">
        <v>28.679786918886698</v>
      </c>
      <c r="E26" s="5">
        <v>33.963999999999999</v>
      </c>
      <c r="F26" s="4">
        <v>178.072928704367</v>
      </c>
      <c r="G26" s="4">
        <v>101.940780519801</v>
      </c>
      <c r="H26" s="1">
        <v>35</v>
      </c>
      <c r="I26" s="1">
        <v>16</v>
      </c>
      <c r="J26">
        <v>13</v>
      </c>
      <c r="K26" s="1">
        <v>13</v>
      </c>
      <c r="L26" s="1">
        <v>4</v>
      </c>
      <c r="M26" s="4">
        <v>8.8632876712328805</v>
      </c>
      <c r="N26" s="4">
        <v>1.0114285714285713</v>
      </c>
      <c r="O26" s="7">
        <v>480</v>
      </c>
      <c r="P26" s="7">
        <v>100</v>
      </c>
      <c r="Q26" s="5">
        <v>0.87166666666666703</v>
      </c>
      <c r="R26" s="5">
        <v>0.14733333333333301</v>
      </c>
      <c r="S26" s="1">
        <v>40</v>
      </c>
      <c r="T26" s="1">
        <v>56.042859999999997</v>
      </c>
      <c r="U26" s="1">
        <v>9.6509499999999999</v>
      </c>
      <c r="V26" s="1">
        <v>1</v>
      </c>
      <c r="W26" s="1">
        <v>1</v>
      </c>
      <c r="X26" s="4">
        <f t="shared" si="0"/>
        <v>-1.1428571428571344E-2</v>
      </c>
    </row>
    <row r="27" spans="1:24" x14ac:dyDescent="0.2">
      <c r="A27" s="1" t="s">
        <v>38</v>
      </c>
      <c r="B27" s="1" t="s">
        <v>14</v>
      </c>
      <c r="C27" s="1" t="s">
        <v>90</v>
      </c>
      <c r="D27" s="1">
        <v>40.388631646030802</v>
      </c>
      <c r="E27" s="5">
        <v>24.062000000000001</v>
      </c>
      <c r="F27" s="4">
        <v>49.315660885719304</v>
      </c>
      <c r="G27" s="4">
        <v>480.44409336154501</v>
      </c>
      <c r="H27" s="1">
        <v>10</v>
      </c>
      <c r="I27" s="1">
        <v>14</v>
      </c>
      <c r="J27">
        <v>15</v>
      </c>
      <c r="K27" s="1">
        <v>13</v>
      </c>
      <c r="L27" s="1">
        <v>3</v>
      </c>
      <c r="M27" s="4">
        <v>8.8632876712328805</v>
      </c>
      <c r="N27" s="4">
        <v>1.0143266475644699</v>
      </c>
      <c r="O27" s="7">
        <v>750</v>
      </c>
      <c r="P27" s="7">
        <v>120</v>
      </c>
      <c r="Q27" s="5">
        <v>0.85099999999999998</v>
      </c>
      <c r="R27" s="5">
        <v>0.21233333333333301</v>
      </c>
      <c r="S27" s="1">
        <v>0</v>
      </c>
      <c r="T27" s="1">
        <v>56.047409999999999</v>
      </c>
      <c r="U27" s="1">
        <v>9.6464800000000004</v>
      </c>
      <c r="V27" s="1">
        <v>1</v>
      </c>
      <c r="W27" s="1">
        <v>1</v>
      </c>
      <c r="X27" s="4">
        <f t="shared" si="0"/>
        <v>-1.4326647564469885E-2</v>
      </c>
    </row>
    <row r="28" spans="1:24" x14ac:dyDescent="0.2">
      <c r="A28" s="1" t="s">
        <v>39</v>
      </c>
      <c r="B28" s="1" t="s">
        <v>14</v>
      </c>
      <c r="C28" s="1" t="s">
        <v>90</v>
      </c>
      <c r="D28" s="1">
        <v>54.4744822353967</v>
      </c>
      <c r="E28" s="5">
        <v>18.0825</v>
      </c>
      <c r="F28" s="4">
        <v>182.94324859415801</v>
      </c>
      <c r="G28" s="4">
        <v>1389.0319786029099</v>
      </c>
      <c r="H28" s="1">
        <v>35</v>
      </c>
      <c r="I28" s="1">
        <v>19</v>
      </c>
      <c r="J28">
        <v>15</v>
      </c>
      <c r="K28" s="1">
        <v>15</v>
      </c>
      <c r="L28" s="1">
        <v>6</v>
      </c>
      <c r="M28" s="4">
        <v>8.8632876712328805</v>
      </c>
      <c r="N28" s="4">
        <v>1.0143266475644699</v>
      </c>
      <c r="O28" s="7">
        <v>520</v>
      </c>
      <c r="P28" s="7">
        <v>110</v>
      </c>
      <c r="Q28" s="5">
        <v>1.0629999999999999</v>
      </c>
      <c r="R28" s="5">
        <v>0.23066666666666699</v>
      </c>
      <c r="S28" s="1">
        <v>30</v>
      </c>
      <c r="T28" s="1">
        <v>56.049190000000003</v>
      </c>
      <c r="U28" s="1">
        <v>9.6487599999999993</v>
      </c>
      <c r="V28" s="1">
        <v>1</v>
      </c>
      <c r="W28" s="1">
        <v>1</v>
      </c>
      <c r="X28" s="4">
        <f t="shared" si="0"/>
        <v>-1.4326647564469885E-2</v>
      </c>
    </row>
    <row r="29" spans="1:24" x14ac:dyDescent="0.2">
      <c r="A29" s="1" t="s">
        <v>40</v>
      </c>
      <c r="B29" s="1" t="s">
        <v>14</v>
      </c>
      <c r="C29" s="1" t="s">
        <v>90</v>
      </c>
      <c r="D29" s="1">
        <v>32.8777292660386</v>
      </c>
      <c r="E29" s="5">
        <v>38.481999999999999</v>
      </c>
      <c r="F29" s="4">
        <v>22.247634595806499</v>
      </c>
      <c r="G29" s="4">
        <v>1341.0251996831801</v>
      </c>
      <c r="H29" s="1">
        <v>10</v>
      </c>
      <c r="I29" s="1">
        <v>11</v>
      </c>
      <c r="J29">
        <v>10</v>
      </c>
      <c r="K29" s="1">
        <v>18</v>
      </c>
      <c r="L29" s="1">
        <v>3</v>
      </c>
      <c r="M29" s="4">
        <v>8.8632876712328805</v>
      </c>
      <c r="N29" s="4">
        <v>1.0114285714285713</v>
      </c>
      <c r="O29" s="7">
        <v>3200</v>
      </c>
      <c r="P29" s="7">
        <v>170</v>
      </c>
      <c r="Q29" s="5">
        <v>0.86133333333333295</v>
      </c>
      <c r="R29" s="5">
        <v>0.14099999999999999</v>
      </c>
      <c r="S29" s="1">
        <v>65</v>
      </c>
      <c r="T29" s="1">
        <v>56.043520000000001</v>
      </c>
      <c r="U29" s="1">
        <v>9.6564499999999995</v>
      </c>
      <c r="V29" s="1">
        <v>0</v>
      </c>
      <c r="W29" s="1">
        <v>1</v>
      </c>
      <c r="X29" s="4">
        <f t="shared" si="0"/>
        <v>-1.1428571428571344E-2</v>
      </c>
    </row>
    <row r="30" spans="1:24" x14ac:dyDescent="0.2">
      <c r="A30" s="1" t="s">
        <v>41</v>
      </c>
      <c r="B30" s="1" t="s">
        <v>14</v>
      </c>
      <c r="C30" s="1" t="s">
        <v>90</v>
      </c>
      <c r="D30" s="1">
        <v>120.077457328333</v>
      </c>
      <c r="E30" s="5">
        <v>26.263999999999999</v>
      </c>
      <c r="F30" s="4">
        <v>396.57137625220798</v>
      </c>
      <c r="G30" s="4">
        <v>1435.7958363385601</v>
      </c>
      <c r="H30" s="1">
        <v>35</v>
      </c>
      <c r="I30" s="1">
        <v>10</v>
      </c>
      <c r="J30">
        <v>11</v>
      </c>
      <c r="K30" s="1">
        <v>18</v>
      </c>
      <c r="L30" s="1">
        <v>2</v>
      </c>
      <c r="M30" s="4">
        <v>8.7382465753424707</v>
      </c>
      <c r="N30" s="4">
        <v>1.0521861777150916</v>
      </c>
      <c r="O30" s="7">
        <v>240</v>
      </c>
      <c r="P30" s="7">
        <v>140</v>
      </c>
      <c r="Q30" s="5">
        <v>0.71333333333333304</v>
      </c>
      <c r="R30" s="5">
        <v>0.23300000000000001</v>
      </c>
      <c r="S30" s="1">
        <v>95</v>
      </c>
      <c r="T30" s="1">
        <v>56.022860000000001</v>
      </c>
      <c r="U30" s="1">
        <v>9.6146899999999995</v>
      </c>
      <c r="V30" s="1">
        <v>1</v>
      </c>
      <c r="W30" s="1">
        <v>1</v>
      </c>
      <c r="X30" s="4">
        <f t="shared" si="0"/>
        <v>-5.2186177715091597E-2</v>
      </c>
    </row>
    <row r="31" spans="1:24" x14ac:dyDescent="0.2">
      <c r="A31" s="1" t="s">
        <v>42</v>
      </c>
      <c r="B31" s="1" t="s">
        <v>14</v>
      </c>
      <c r="C31" s="1" t="s">
        <v>90</v>
      </c>
      <c r="D31" s="1">
        <v>18.616648184731801</v>
      </c>
      <c r="E31" s="5">
        <v>66.581999999999994</v>
      </c>
      <c r="F31" s="4">
        <v>2.82287047044011</v>
      </c>
      <c r="G31" s="4">
        <v>452.16656546381199</v>
      </c>
      <c r="H31" s="1">
        <v>50</v>
      </c>
      <c r="I31" s="1">
        <v>10</v>
      </c>
      <c r="J31">
        <v>8</v>
      </c>
      <c r="K31" s="1">
        <v>16</v>
      </c>
      <c r="L31" s="6">
        <v>2</v>
      </c>
      <c r="M31" s="4">
        <v>8.7382465753424707</v>
      </c>
      <c r="N31" s="4">
        <v>1.047752808988764</v>
      </c>
      <c r="O31" s="7">
        <v>490</v>
      </c>
      <c r="P31" s="7">
        <v>130</v>
      </c>
      <c r="Q31" s="5">
        <v>0.85533333333333295</v>
      </c>
      <c r="R31" s="5">
        <v>0.24633333333333299</v>
      </c>
      <c r="S31" s="1">
        <v>60</v>
      </c>
      <c r="T31" s="1">
        <v>56.021030000000003</v>
      </c>
      <c r="U31" s="1">
        <v>9.6035900000000005</v>
      </c>
      <c r="V31" s="1">
        <v>1</v>
      </c>
      <c r="W31" s="1">
        <v>1</v>
      </c>
      <c r="X31" s="4">
        <f t="shared" si="0"/>
        <v>-4.7752808988763995E-2</v>
      </c>
    </row>
    <row r="32" spans="1:24" x14ac:dyDescent="0.2">
      <c r="A32" s="1" t="s">
        <v>45</v>
      </c>
      <c r="B32" s="1" t="s">
        <v>46</v>
      </c>
      <c r="C32" s="1" t="s">
        <v>91</v>
      </c>
      <c r="D32" s="1">
        <v>71.323607949285702</v>
      </c>
      <c r="E32" s="5">
        <v>26.38</v>
      </c>
      <c r="F32" s="4">
        <v>542.93403261752098</v>
      </c>
      <c r="G32" s="4">
        <v>183.489181</v>
      </c>
      <c r="H32" s="1">
        <v>80</v>
      </c>
      <c r="I32" s="1">
        <v>28</v>
      </c>
      <c r="J32">
        <v>20</v>
      </c>
      <c r="K32" s="1">
        <v>17</v>
      </c>
      <c r="L32" s="1">
        <v>4</v>
      </c>
      <c r="M32" s="4">
        <v>16.453917808219199</v>
      </c>
      <c r="N32" s="4">
        <v>0.44121915820029028</v>
      </c>
      <c r="O32" s="7">
        <v>24675.91</v>
      </c>
      <c r="P32" s="7">
        <v>20.8</v>
      </c>
      <c r="Q32" s="5">
        <v>7.97</v>
      </c>
      <c r="R32" s="5">
        <v>0.83799999999999997</v>
      </c>
      <c r="S32" s="1">
        <v>0</v>
      </c>
      <c r="T32" s="1">
        <v>42.397714000000001</v>
      </c>
      <c r="U32" s="1">
        <v>2.9071380000000002</v>
      </c>
      <c r="V32" s="1">
        <v>0</v>
      </c>
      <c r="W32" s="1">
        <v>0</v>
      </c>
      <c r="X32" s="4">
        <f t="shared" ref="X32:X61" si="1">1-N32</f>
        <v>0.55878084179970977</v>
      </c>
    </row>
    <row r="33" spans="1:24" x14ac:dyDescent="0.2">
      <c r="A33" s="1" t="s">
        <v>47</v>
      </c>
      <c r="B33" s="1" t="s">
        <v>46</v>
      </c>
      <c r="C33" s="1" t="s">
        <v>91</v>
      </c>
      <c r="D33" s="1">
        <v>73.466683816666702</v>
      </c>
      <c r="E33" s="5">
        <v>14.925000000000001</v>
      </c>
      <c r="F33" s="4">
        <v>3177.5704976751899</v>
      </c>
      <c r="G33" s="4">
        <v>453.35171200000002</v>
      </c>
      <c r="H33" s="1">
        <v>80</v>
      </c>
      <c r="I33" s="1">
        <v>21</v>
      </c>
      <c r="J33">
        <v>21</v>
      </c>
      <c r="K33" s="1">
        <v>19</v>
      </c>
      <c r="L33" s="1">
        <v>4</v>
      </c>
      <c r="M33" s="4">
        <v>16.453917808219199</v>
      </c>
      <c r="N33" s="4">
        <v>0.43490909090909091</v>
      </c>
      <c r="O33" s="7">
        <v>2555.36</v>
      </c>
      <c r="P33" s="7">
        <v>36.4</v>
      </c>
      <c r="Q33" s="5">
        <v>2.68</v>
      </c>
      <c r="R33" s="5">
        <v>7.4999999999999997E-2</v>
      </c>
      <c r="S33" s="1">
        <v>0</v>
      </c>
      <c r="T33" s="1">
        <v>42.396951999999999</v>
      </c>
      <c r="U33" s="1">
        <v>2.979768</v>
      </c>
      <c r="V33" s="1">
        <v>0</v>
      </c>
      <c r="W33" s="1">
        <v>0</v>
      </c>
      <c r="X33" s="4">
        <f t="shared" si="1"/>
        <v>0.56509090909090909</v>
      </c>
    </row>
    <row r="34" spans="1:24" x14ac:dyDescent="0.2">
      <c r="A34" s="1" t="s">
        <v>48</v>
      </c>
      <c r="B34" s="1" t="s">
        <v>46</v>
      </c>
      <c r="C34" s="1" t="s">
        <v>91</v>
      </c>
      <c r="D34" s="1">
        <v>11.168585058928601</v>
      </c>
      <c r="E34" s="5">
        <v>17.766999999999999</v>
      </c>
      <c r="F34" s="4">
        <v>171.86534834168799</v>
      </c>
      <c r="G34" s="4">
        <v>748.09816999999998</v>
      </c>
      <c r="H34" s="1">
        <v>80</v>
      </c>
      <c r="I34" s="1">
        <v>20</v>
      </c>
      <c r="J34">
        <v>16</v>
      </c>
      <c r="K34" s="1">
        <v>16</v>
      </c>
      <c r="L34" s="1">
        <v>6</v>
      </c>
      <c r="M34" s="4">
        <v>16.419794520547899</v>
      </c>
      <c r="N34" s="4">
        <v>0.42166064981949458</v>
      </c>
      <c r="O34" s="7">
        <v>11646.89</v>
      </c>
      <c r="P34" s="7">
        <v>24.2</v>
      </c>
      <c r="Q34" s="5">
        <v>2.3660000000000001</v>
      </c>
      <c r="R34" s="5">
        <v>7.5999999999999998E-2</v>
      </c>
      <c r="S34" s="1">
        <v>0</v>
      </c>
      <c r="T34" s="1">
        <v>42.373035999999999</v>
      </c>
      <c r="U34" s="1">
        <v>2.950593</v>
      </c>
      <c r="V34" s="1">
        <v>0</v>
      </c>
      <c r="W34" s="1">
        <v>0</v>
      </c>
      <c r="X34" s="4">
        <f t="shared" si="1"/>
        <v>0.57833935018050542</v>
      </c>
    </row>
    <row r="35" spans="1:24" x14ac:dyDescent="0.2">
      <c r="A35" s="1" t="s">
        <v>49</v>
      </c>
      <c r="B35" s="1" t="s">
        <v>46</v>
      </c>
      <c r="C35" s="1" t="s">
        <v>91</v>
      </c>
      <c r="D35" s="1">
        <v>107.609572525</v>
      </c>
      <c r="E35" s="5">
        <v>21.8</v>
      </c>
      <c r="F35" s="4">
        <v>2799.11680027579</v>
      </c>
      <c r="G35" s="4">
        <v>660.54337399999997</v>
      </c>
      <c r="H35" s="1">
        <v>80</v>
      </c>
      <c r="I35" s="1">
        <v>23</v>
      </c>
      <c r="J35">
        <v>23</v>
      </c>
      <c r="K35" s="1">
        <v>20</v>
      </c>
      <c r="L35" s="1">
        <v>4</v>
      </c>
      <c r="M35" s="4">
        <v>16.453917808219199</v>
      </c>
      <c r="N35" s="4">
        <v>0.43239334779464933</v>
      </c>
      <c r="O35" s="7">
        <v>13465.72</v>
      </c>
      <c r="P35" s="7">
        <v>55.3</v>
      </c>
      <c r="Q35" s="5">
        <v>2.2349999999999999</v>
      </c>
      <c r="R35" s="5">
        <v>0.122</v>
      </c>
      <c r="S35" s="1">
        <v>0</v>
      </c>
      <c r="T35" s="1">
        <v>42.379075</v>
      </c>
      <c r="U35" s="1">
        <v>2.9588709999999998</v>
      </c>
      <c r="V35" s="1">
        <v>0</v>
      </c>
      <c r="W35" s="1">
        <v>0</v>
      </c>
      <c r="X35" s="4">
        <f t="shared" si="1"/>
        <v>0.56760665220535067</v>
      </c>
    </row>
    <row r="36" spans="1:24" x14ac:dyDescent="0.2">
      <c r="A36" s="1" t="s">
        <v>50</v>
      </c>
      <c r="B36" s="1" t="s">
        <v>46</v>
      </c>
      <c r="C36" s="1" t="s">
        <v>91</v>
      </c>
      <c r="D36" s="1">
        <v>425.94797886333299</v>
      </c>
      <c r="E36" s="5">
        <v>18.260000000000002</v>
      </c>
      <c r="F36" s="4">
        <v>254.80964490858099</v>
      </c>
      <c r="G36" s="4">
        <v>1369.3227999999999</v>
      </c>
      <c r="H36" s="1">
        <v>80</v>
      </c>
      <c r="I36" s="1">
        <v>20</v>
      </c>
      <c r="J36">
        <v>16</v>
      </c>
      <c r="K36" s="1">
        <v>14</v>
      </c>
      <c r="L36" s="6">
        <v>1</v>
      </c>
      <c r="M36" s="4">
        <v>16.453917808219199</v>
      </c>
      <c r="N36" s="4">
        <v>0.42990654205607476</v>
      </c>
      <c r="O36" s="7">
        <v>11455.29</v>
      </c>
      <c r="P36" s="7">
        <v>44.1</v>
      </c>
      <c r="Q36" s="5">
        <v>4.1970000000000001</v>
      </c>
      <c r="R36" s="5">
        <v>0.77100000000000002</v>
      </c>
      <c r="S36" s="1">
        <v>0</v>
      </c>
      <c r="T36" s="1">
        <v>42.381861000000001</v>
      </c>
      <c r="U36" s="1">
        <v>2.9831940000000001</v>
      </c>
      <c r="V36" s="1">
        <v>0</v>
      </c>
      <c r="W36" s="1">
        <v>0</v>
      </c>
      <c r="X36" s="4">
        <f t="shared" si="1"/>
        <v>0.57009345794392519</v>
      </c>
    </row>
    <row r="37" spans="1:24" x14ac:dyDescent="0.2">
      <c r="A37" s="1" t="s">
        <v>51</v>
      </c>
      <c r="B37" s="1" t="s">
        <v>46</v>
      </c>
      <c r="C37" s="1" t="s">
        <v>91</v>
      </c>
      <c r="D37" s="1">
        <v>222.76017549214299</v>
      </c>
      <c r="E37" s="5">
        <v>24.08</v>
      </c>
      <c r="F37" s="4">
        <v>897.63816736504702</v>
      </c>
      <c r="G37" s="4">
        <v>372.61220800000001</v>
      </c>
      <c r="H37" s="1">
        <v>80</v>
      </c>
      <c r="I37" s="1">
        <v>19</v>
      </c>
      <c r="J37">
        <v>20</v>
      </c>
      <c r="K37" s="1">
        <v>16</v>
      </c>
      <c r="L37" s="1">
        <v>4</v>
      </c>
      <c r="M37" s="4">
        <v>16.453917808219199</v>
      </c>
      <c r="N37" s="4">
        <v>0.43690736688548504</v>
      </c>
      <c r="O37" s="7">
        <v>11128.87</v>
      </c>
      <c r="P37" s="7">
        <v>25</v>
      </c>
      <c r="Q37" s="5">
        <v>2.734</v>
      </c>
      <c r="R37" s="5">
        <v>7.9000000000000001E-2</v>
      </c>
      <c r="S37" s="1">
        <v>0</v>
      </c>
      <c r="T37" s="1">
        <v>42.398274999999998</v>
      </c>
      <c r="U37" s="1">
        <v>2.9287619999999999</v>
      </c>
      <c r="V37" s="1">
        <v>0</v>
      </c>
      <c r="W37" s="1">
        <v>0</v>
      </c>
      <c r="X37" s="4">
        <f t="shared" si="1"/>
        <v>0.56309263311451496</v>
      </c>
    </row>
    <row r="38" spans="1:24" x14ac:dyDescent="0.2">
      <c r="A38" s="1" t="s">
        <v>64</v>
      </c>
      <c r="B38" s="1" t="s">
        <v>46</v>
      </c>
      <c r="C38" s="1" t="s">
        <v>94</v>
      </c>
      <c r="D38" s="1">
        <v>1000.5225987145</v>
      </c>
      <c r="E38" s="5">
        <v>51.697333333333297</v>
      </c>
      <c r="F38" s="4">
        <v>404.34903597797802</v>
      </c>
      <c r="G38" s="4">
        <v>556.42605800000001</v>
      </c>
      <c r="H38" s="1">
        <v>1</v>
      </c>
      <c r="I38" s="1">
        <v>6</v>
      </c>
      <c r="J38">
        <v>15</v>
      </c>
      <c r="K38" s="1">
        <v>9</v>
      </c>
      <c r="L38" s="1">
        <v>7</v>
      </c>
      <c r="M38" s="4">
        <v>12.408410958904099</v>
      </c>
      <c r="N38" s="4">
        <v>0.58980213089802136</v>
      </c>
      <c r="O38" s="7">
        <v>114.39</v>
      </c>
      <c r="P38" s="7">
        <v>25.1</v>
      </c>
      <c r="Q38" s="5">
        <v>1.4570000000000001</v>
      </c>
      <c r="R38" s="5">
        <v>0.113666666666667</v>
      </c>
      <c r="S38" s="1">
        <v>0</v>
      </c>
      <c r="T38" s="1">
        <v>42.258741299999997</v>
      </c>
      <c r="U38" s="1">
        <v>2.51817</v>
      </c>
      <c r="V38" s="1">
        <v>0</v>
      </c>
      <c r="W38" s="1">
        <v>0</v>
      </c>
      <c r="X38" s="4">
        <f t="shared" si="1"/>
        <v>0.41019786910197864</v>
      </c>
    </row>
    <row r="39" spans="1:24" x14ac:dyDescent="0.2">
      <c r="A39" s="1" t="s">
        <v>65</v>
      </c>
      <c r="B39" s="1" t="s">
        <v>46</v>
      </c>
      <c r="C39" s="1" t="s">
        <v>94</v>
      </c>
      <c r="D39" s="1">
        <v>1414.7622807499999</v>
      </c>
      <c r="E39" s="5">
        <v>4.7876666666666701</v>
      </c>
      <c r="F39" s="4">
        <v>3590.5189612890599</v>
      </c>
      <c r="G39" s="4">
        <v>5134.6219330000004</v>
      </c>
      <c r="H39" s="1">
        <v>60</v>
      </c>
      <c r="I39" s="1">
        <v>14</v>
      </c>
      <c r="J39">
        <v>12</v>
      </c>
      <c r="K39" s="1">
        <v>15</v>
      </c>
      <c r="L39" s="1">
        <v>7</v>
      </c>
      <c r="M39" s="4">
        <v>12.408410958904099</v>
      </c>
      <c r="N39" s="4">
        <v>0.60311284046692604</v>
      </c>
      <c r="O39" s="7">
        <v>116.61</v>
      </c>
      <c r="P39" s="7">
        <v>30.7</v>
      </c>
      <c r="Q39" s="5">
        <v>5.2069999999999999</v>
      </c>
      <c r="R39" s="5">
        <v>5.7333333333333299E-2</v>
      </c>
      <c r="S39" s="1">
        <v>35</v>
      </c>
      <c r="T39" s="1">
        <v>42.289885400000003</v>
      </c>
      <c r="U39" s="1">
        <v>2.5140633000000001</v>
      </c>
      <c r="V39" s="1">
        <v>0</v>
      </c>
      <c r="W39" s="1">
        <v>0</v>
      </c>
      <c r="X39" s="4">
        <f t="shared" si="1"/>
        <v>0.39688715953307396</v>
      </c>
    </row>
    <row r="40" spans="1:24" x14ac:dyDescent="0.2">
      <c r="A40" s="1" t="s">
        <v>66</v>
      </c>
      <c r="B40" s="1" t="s">
        <v>46</v>
      </c>
      <c r="C40" s="1" t="s">
        <v>94</v>
      </c>
      <c r="D40" s="1">
        <v>517.35503673699998</v>
      </c>
      <c r="E40" s="5">
        <v>39.055333333333301</v>
      </c>
      <c r="F40" s="4">
        <v>4561.3220539362501</v>
      </c>
      <c r="G40" s="4">
        <v>3881.8107409999998</v>
      </c>
      <c r="H40" s="1">
        <v>20</v>
      </c>
      <c r="I40" s="1">
        <v>10</v>
      </c>
      <c r="J40">
        <v>9</v>
      </c>
      <c r="K40" s="1">
        <v>14</v>
      </c>
      <c r="L40" s="1">
        <v>3</v>
      </c>
      <c r="M40" s="4">
        <v>12.408410958904099</v>
      </c>
      <c r="N40" s="4">
        <v>0.60546875</v>
      </c>
      <c r="O40" s="7">
        <v>86.05</v>
      </c>
      <c r="P40" s="7">
        <v>34.9</v>
      </c>
      <c r="Q40" s="5">
        <v>2.4</v>
      </c>
      <c r="R40" s="5">
        <v>7.0333333333333303E-2</v>
      </c>
      <c r="S40" s="1">
        <v>0</v>
      </c>
      <c r="T40" s="1">
        <v>42.284456599999999</v>
      </c>
      <c r="U40" s="1">
        <v>2.5013695999999999</v>
      </c>
      <c r="V40" s="1">
        <v>0</v>
      </c>
      <c r="W40" s="1">
        <v>0</v>
      </c>
      <c r="X40" s="4">
        <f t="shared" si="1"/>
        <v>0.39453125</v>
      </c>
    </row>
    <row r="41" spans="1:24" x14ac:dyDescent="0.2">
      <c r="A41" s="1" t="s">
        <v>67</v>
      </c>
      <c r="B41" s="1" t="s">
        <v>46</v>
      </c>
      <c r="C41" s="1" t="s">
        <v>94</v>
      </c>
      <c r="D41" s="1">
        <v>330.58856895700001</v>
      </c>
      <c r="E41" s="5">
        <v>12.9</v>
      </c>
      <c r="F41" s="4">
        <v>7986.19956143131</v>
      </c>
      <c r="G41" s="4">
        <v>2221.7515579999999</v>
      </c>
      <c r="H41" s="1">
        <v>40</v>
      </c>
      <c r="I41" s="1">
        <v>7</v>
      </c>
      <c r="J41">
        <v>9</v>
      </c>
      <c r="K41" s="1">
        <v>15</v>
      </c>
      <c r="L41" s="1">
        <v>1</v>
      </c>
      <c r="M41" s="4">
        <v>12.408410958904099</v>
      </c>
      <c r="N41" s="4">
        <v>0.6262705238467553</v>
      </c>
      <c r="O41" s="7">
        <v>84.39</v>
      </c>
      <c r="P41" s="7">
        <v>27</v>
      </c>
      <c r="Q41" s="5">
        <v>2.4209999999999998</v>
      </c>
      <c r="R41" s="5">
        <v>8.8999999999999996E-2</v>
      </c>
      <c r="S41" s="1">
        <v>0</v>
      </c>
      <c r="T41" s="1">
        <v>42.288726799999999</v>
      </c>
      <c r="U41" s="1">
        <v>2.4980609999999999</v>
      </c>
      <c r="V41" s="1">
        <v>0</v>
      </c>
      <c r="W41" s="1">
        <v>0</v>
      </c>
      <c r="X41" s="4">
        <f t="shared" si="1"/>
        <v>0.3737294761532447</v>
      </c>
    </row>
    <row r="42" spans="1:24" x14ac:dyDescent="0.2">
      <c r="A42" s="1" t="s">
        <v>68</v>
      </c>
      <c r="B42" s="1" t="s">
        <v>46</v>
      </c>
      <c r="C42" s="1" t="s">
        <v>94</v>
      </c>
      <c r="D42" s="1">
        <v>362.6213647605</v>
      </c>
      <c r="E42" s="5">
        <v>22.613</v>
      </c>
      <c r="F42" s="4">
        <v>636.69332441997699</v>
      </c>
      <c r="G42" s="4">
        <v>2540.7288090000002</v>
      </c>
      <c r="H42" s="1">
        <v>40</v>
      </c>
      <c r="I42" s="1">
        <v>10</v>
      </c>
      <c r="J42">
        <v>9</v>
      </c>
      <c r="K42" s="1">
        <v>8</v>
      </c>
      <c r="L42" s="1">
        <v>5</v>
      </c>
      <c r="M42" s="4">
        <v>12.408410958904099</v>
      </c>
      <c r="N42" s="4">
        <v>0.596612779060816</v>
      </c>
      <c r="O42" s="7">
        <v>95.42</v>
      </c>
      <c r="P42" s="7">
        <v>18.399999999999999</v>
      </c>
      <c r="Q42" s="5">
        <v>0.97650000000000003</v>
      </c>
      <c r="R42" s="5">
        <v>0.10299999999999999</v>
      </c>
      <c r="S42" s="1">
        <v>0</v>
      </c>
      <c r="T42" s="1">
        <v>42.276232</v>
      </c>
      <c r="U42" s="1">
        <v>2.5099721000000002</v>
      </c>
      <c r="V42" s="1">
        <v>0</v>
      </c>
      <c r="W42" s="1">
        <v>0</v>
      </c>
      <c r="X42" s="4">
        <f t="shared" si="1"/>
        <v>0.403387220939184</v>
      </c>
    </row>
    <row r="43" spans="1:24" x14ac:dyDescent="0.2">
      <c r="A43" s="1" t="s">
        <v>69</v>
      </c>
      <c r="B43" s="1" t="s">
        <v>46</v>
      </c>
      <c r="C43" s="1" t="s">
        <v>94</v>
      </c>
      <c r="D43" s="1">
        <v>456.400102337833</v>
      </c>
      <c r="E43" s="5">
        <v>19.120999999999999</v>
      </c>
      <c r="F43" s="4">
        <v>509.794524888463</v>
      </c>
      <c r="G43" s="4">
        <v>19.011385000000001</v>
      </c>
      <c r="H43" s="1">
        <v>40</v>
      </c>
      <c r="I43" s="1">
        <v>12</v>
      </c>
      <c r="J43">
        <v>14</v>
      </c>
      <c r="K43" s="1">
        <v>12</v>
      </c>
      <c r="L43" s="1">
        <v>5</v>
      </c>
      <c r="M43" s="4">
        <v>12.408410958904099</v>
      </c>
      <c r="N43" s="4">
        <v>0.57240333586050041</v>
      </c>
      <c r="O43" s="7">
        <v>157.47999999999999</v>
      </c>
      <c r="P43" s="7">
        <v>19.2</v>
      </c>
      <c r="Q43" s="5">
        <v>1.6719999999999999</v>
      </c>
      <c r="R43" s="5">
        <v>0.187</v>
      </c>
      <c r="S43" s="1">
        <v>0</v>
      </c>
      <c r="T43" s="1">
        <v>42.267927999999998</v>
      </c>
      <c r="U43" s="1">
        <v>2.5564293</v>
      </c>
      <c r="V43" s="1">
        <v>0</v>
      </c>
      <c r="W43" s="1">
        <v>0</v>
      </c>
      <c r="X43" s="4">
        <f t="shared" si="1"/>
        <v>0.42759666413949959</v>
      </c>
    </row>
    <row r="44" spans="1:24" x14ac:dyDescent="0.2">
      <c r="A44" s="1" t="s">
        <v>70</v>
      </c>
      <c r="B44" s="1" t="s">
        <v>46</v>
      </c>
      <c r="C44" s="1" t="s">
        <v>95</v>
      </c>
      <c r="D44" s="1">
        <v>107.102578545</v>
      </c>
      <c r="E44" s="5">
        <v>13.45</v>
      </c>
      <c r="F44" s="4">
        <v>1464.3666676596999</v>
      </c>
      <c r="G44" s="4">
        <v>170.165143</v>
      </c>
      <c r="H44" s="1">
        <v>80</v>
      </c>
      <c r="I44" s="1">
        <v>14</v>
      </c>
      <c r="J44">
        <v>16</v>
      </c>
      <c r="K44" s="1">
        <v>18</v>
      </c>
      <c r="L44" s="1">
        <v>6</v>
      </c>
      <c r="M44" s="4">
        <v>16.952616438356198</v>
      </c>
      <c r="N44" s="4">
        <v>0.52990797546012269</v>
      </c>
      <c r="O44" s="7">
        <v>1205.68</v>
      </c>
      <c r="P44" s="7">
        <v>21.5</v>
      </c>
      <c r="Q44" s="5">
        <v>1.0609999999999999</v>
      </c>
      <c r="R44" s="5">
        <v>3.1E-2</v>
      </c>
      <c r="S44" s="1">
        <v>100</v>
      </c>
      <c r="T44" s="1">
        <v>41.835895000000001</v>
      </c>
      <c r="U44" s="1">
        <v>2.9220700000000002</v>
      </c>
      <c r="V44" s="1">
        <v>1</v>
      </c>
      <c r="W44" s="1">
        <v>0</v>
      </c>
      <c r="X44" s="4">
        <f t="shared" si="1"/>
        <v>0.47009202453987731</v>
      </c>
    </row>
    <row r="45" spans="1:24" x14ac:dyDescent="0.2">
      <c r="A45" s="1" t="s">
        <v>71</v>
      </c>
      <c r="B45" s="1" t="s">
        <v>46</v>
      </c>
      <c r="C45" s="1" t="s">
        <v>95</v>
      </c>
      <c r="D45" s="1">
        <v>147.80721677612499</v>
      </c>
      <c r="E45" s="5">
        <v>117.636666666667</v>
      </c>
      <c r="F45" s="4">
        <v>858.51711857277701</v>
      </c>
      <c r="G45" s="4">
        <v>1061.3112550000001</v>
      </c>
      <c r="H45" s="1">
        <v>20</v>
      </c>
      <c r="I45" s="1">
        <v>13</v>
      </c>
      <c r="J45">
        <v>12</v>
      </c>
      <c r="K45" s="1">
        <v>11</v>
      </c>
      <c r="L45" s="1">
        <v>5</v>
      </c>
      <c r="M45" s="4">
        <v>16.952616438356198</v>
      </c>
      <c r="N45" s="4">
        <v>0.53940321346595255</v>
      </c>
      <c r="O45" s="7">
        <v>65.42</v>
      </c>
      <c r="P45" s="7">
        <v>76.599999999999994</v>
      </c>
      <c r="Q45" s="5">
        <v>4.0709999999999997</v>
      </c>
      <c r="R45" s="5">
        <v>0.23833333333333301</v>
      </c>
      <c r="S45" s="1">
        <v>75</v>
      </c>
      <c r="T45" s="1">
        <v>41.842303999999999</v>
      </c>
      <c r="U45" s="1">
        <v>2.8775539999999999</v>
      </c>
      <c r="V45" s="1">
        <v>1</v>
      </c>
      <c r="W45" s="1">
        <v>0</v>
      </c>
      <c r="X45" s="4">
        <f t="shared" si="1"/>
        <v>0.46059678653404745</v>
      </c>
    </row>
    <row r="46" spans="1:24" x14ac:dyDescent="0.2">
      <c r="A46" s="1" t="s">
        <v>72</v>
      </c>
      <c r="B46" s="1" t="s">
        <v>46</v>
      </c>
      <c r="C46" s="1" t="s">
        <v>95</v>
      </c>
      <c r="D46" s="1">
        <v>136.099057235</v>
      </c>
      <c r="E46" s="5">
        <v>30.574999999999999</v>
      </c>
      <c r="F46" s="4">
        <v>630.37385409901799</v>
      </c>
      <c r="G46" s="4">
        <v>1112.657373</v>
      </c>
      <c r="H46" s="1">
        <v>80</v>
      </c>
      <c r="I46" s="1">
        <v>13</v>
      </c>
      <c r="J46">
        <v>16</v>
      </c>
      <c r="K46" s="1">
        <v>17</v>
      </c>
      <c r="L46" s="1">
        <v>6</v>
      </c>
      <c r="M46" s="4">
        <v>16.952616438356198</v>
      </c>
      <c r="N46" s="4">
        <v>0.54064417177914115</v>
      </c>
      <c r="O46" s="7">
        <v>504.42</v>
      </c>
      <c r="P46" s="7">
        <v>19.7</v>
      </c>
      <c r="Q46" s="5">
        <v>1.667</v>
      </c>
      <c r="R46" s="5">
        <v>6.5000000000000002E-2</v>
      </c>
      <c r="S46" s="1">
        <v>50</v>
      </c>
      <c r="T46" s="1">
        <v>41.869686999999999</v>
      </c>
      <c r="U46" s="1">
        <v>2.895044</v>
      </c>
      <c r="V46" s="1">
        <v>0</v>
      </c>
      <c r="W46" s="1">
        <v>0</v>
      </c>
      <c r="X46" s="4">
        <f t="shared" si="1"/>
        <v>0.45935582822085885</v>
      </c>
    </row>
    <row r="47" spans="1:24" x14ac:dyDescent="0.2">
      <c r="A47" s="1" t="s">
        <v>73</v>
      </c>
      <c r="B47" s="1" t="s">
        <v>46</v>
      </c>
      <c r="C47" s="1" t="s">
        <v>95</v>
      </c>
      <c r="D47" s="1">
        <v>147.07781109575001</v>
      </c>
      <c r="E47" s="5">
        <v>152.815666666667</v>
      </c>
      <c r="F47" s="4">
        <v>1401.6404344851401</v>
      </c>
      <c r="G47" s="4">
        <v>870.93860199999995</v>
      </c>
      <c r="H47" s="1">
        <v>20</v>
      </c>
      <c r="I47" s="1">
        <v>17</v>
      </c>
      <c r="J47">
        <v>9</v>
      </c>
      <c r="K47" s="1">
        <v>18</v>
      </c>
      <c r="L47" s="1">
        <v>7</v>
      </c>
      <c r="M47" s="4">
        <v>16.952616438356198</v>
      </c>
      <c r="N47" s="4">
        <v>0.52788388082505733</v>
      </c>
      <c r="O47" s="7">
        <v>551.9</v>
      </c>
      <c r="P47" s="7">
        <v>125.6</v>
      </c>
      <c r="Q47" s="5">
        <v>1.58633333333333</v>
      </c>
      <c r="R47" s="5">
        <v>0.11600000000000001</v>
      </c>
      <c r="S47" s="1">
        <v>0</v>
      </c>
      <c r="T47" s="1">
        <v>41.866190000000003</v>
      </c>
      <c r="U47" s="1">
        <v>2.9172229999999999</v>
      </c>
      <c r="V47" s="1">
        <v>0</v>
      </c>
      <c r="W47" s="1">
        <v>0</v>
      </c>
      <c r="X47" s="4">
        <f t="shared" si="1"/>
        <v>0.47211611917494267</v>
      </c>
    </row>
    <row r="48" spans="1:24" x14ac:dyDescent="0.2">
      <c r="A48" s="1" t="s">
        <v>74</v>
      </c>
      <c r="B48" s="1" t="s">
        <v>46</v>
      </c>
      <c r="C48" s="1" t="s">
        <v>95</v>
      </c>
      <c r="D48" s="1">
        <v>283.78124299125</v>
      </c>
      <c r="E48" s="5">
        <v>34.912666666666702</v>
      </c>
      <c r="F48" s="4">
        <v>1827.3247975020799</v>
      </c>
      <c r="G48" s="4">
        <v>2381.2223359999998</v>
      </c>
      <c r="H48" s="1">
        <v>20</v>
      </c>
      <c r="I48" s="1">
        <v>13</v>
      </c>
      <c r="J48">
        <v>17</v>
      </c>
      <c r="K48" s="1">
        <v>18</v>
      </c>
      <c r="L48" s="1">
        <v>4</v>
      </c>
      <c r="M48" s="4">
        <v>16.952616438356198</v>
      </c>
      <c r="N48" s="4">
        <v>0.5286916602907421</v>
      </c>
      <c r="O48" s="7">
        <v>126.42</v>
      </c>
      <c r="P48" s="7">
        <v>147.5</v>
      </c>
      <c r="Q48" s="5">
        <v>1.1846666666666701</v>
      </c>
      <c r="R48" s="5">
        <v>0.154</v>
      </c>
      <c r="S48" s="1">
        <v>60</v>
      </c>
      <c r="T48" s="1">
        <v>41.873516000000002</v>
      </c>
      <c r="U48" s="1">
        <v>2.9331830000000001</v>
      </c>
      <c r="V48" s="1">
        <v>0</v>
      </c>
      <c r="W48" s="1">
        <v>0</v>
      </c>
      <c r="X48" s="4">
        <f t="shared" si="1"/>
        <v>0.4713083397092579</v>
      </c>
    </row>
    <row r="49" spans="1:26" x14ac:dyDescent="0.2">
      <c r="A49" s="1" t="s">
        <v>75</v>
      </c>
      <c r="B49" s="1" t="s">
        <v>46</v>
      </c>
      <c r="C49" s="1" t="s">
        <v>95</v>
      </c>
      <c r="D49" s="1">
        <v>15.537105267333301</v>
      </c>
      <c r="E49" s="5">
        <v>14.48</v>
      </c>
      <c r="F49" s="4">
        <v>175.20618017359601</v>
      </c>
      <c r="G49" s="4">
        <v>683.90721499999995</v>
      </c>
      <c r="H49" s="1">
        <v>80</v>
      </c>
      <c r="I49" s="1">
        <v>15</v>
      </c>
      <c r="J49">
        <v>17</v>
      </c>
      <c r="K49" s="1">
        <v>14</v>
      </c>
      <c r="L49" s="1">
        <v>5</v>
      </c>
      <c r="M49" s="4">
        <v>16.952616438356198</v>
      </c>
      <c r="N49" s="4">
        <v>0.53940321346595255</v>
      </c>
      <c r="O49" s="7">
        <v>99.4</v>
      </c>
      <c r="P49" s="7">
        <v>26</v>
      </c>
      <c r="Q49" s="5">
        <v>1.5660000000000001</v>
      </c>
      <c r="R49" s="5">
        <v>4.2000000000000003E-2</v>
      </c>
      <c r="S49" s="1">
        <v>0</v>
      </c>
      <c r="T49" s="1">
        <v>41.865467000000002</v>
      </c>
      <c r="U49" s="1">
        <v>2.8946200000000002</v>
      </c>
      <c r="V49" s="1">
        <v>0</v>
      </c>
      <c r="W49" s="1">
        <v>0</v>
      </c>
      <c r="X49" s="4">
        <f t="shared" si="1"/>
        <v>0.46059678653404745</v>
      </c>
    </row>
    <row r="50" spans="1:26" x14ac:dyDescent="0.2">
      <c r="A50" s="1" t="s">
        <v>52</v>
      </c>
      <c r="B50" s="1" t="s">
        <v>46</v>
      </c>
      <c r="C50" s="1" t="s">
        <v>92</v>
      </c>
      <c r="D50" s="1">
        <v>98.4472917949048</v>
      </c>
      <c r="E50" s="5">
        <v>6.7649999999999997</v>
      </c>
      <c r="F50" s="4">
        <v>159.75177851239701</v>
      </c>
      <c r="G50" s="4">
        <v>194.53376499999999</v>
      </c>
      <c r="H50" s="1">
        <v>40</v>
      </c>
      <c r="I50" s="1">
        <v>15</v>
      </c>
      <c r="J50">
        <v>14</v>
      </c>
      <c r="K50" s="1">
        <v>17</v>
      </c>
      <c r="L50" s="1">
        <v>8</v>
      </c>
      <c r="M50" s="4">
        <v>13.0012191780822</v>
      </c>
      <c r="N50" s="4">
        <v>0.5509293680297398</v>
      </c>
      <c r="O50" s="7">
        <v>176.62</v>
      </c>
      <c r="P50" s="7">
        <v>32.700000000000003</v>
      </c>
      <c r="Q50" s="5">
        <v>0.79849999999999999</v>
      </c>
      <c r="R50" s="5">
        <v>4.1500000000000002E-2</v>
      </c>
      <c r="S50" s="1">
        <v>0</v>
      </c>
      <c r="T50" s="1">
        <v>41.961359000000002</v>
      </c>
      <c r="U50" s="1">
        <v>2.3520729999999999</v>
      </c>
      <c r="V50" s="1">
        <v>0</v>
      </c>
      <c r="W50" s="1">
        <v>0</v>
      </c>
      <c r="X50" s="4">
        <f t="shared" si="1"/>
        <v>0.4490706319702602</v>
      </c>
    </row>
    <row r="51" spans="1:26" x14ac:dyDescent="0.2">
      <c r="A51" s="1" t="s">
        <v>53</v>
      </c>
      <c r="B51" s="1" t="s">
        <v>46</v>
      </c>
      <c r="C51" s="1" t="s">
        <v>92</v>
      </c>
      <c r="D51" s="1">
        <v>1623.3508379504301</v>
      </c>
      <c r="E51" s="5">
        <v>82.087666666666706</v>
      </c>
      <c r="F51" s="4">
        <v>88.315768892003206</v>
      </c>
      <c r="G51" s="4">
        <v>2943.0061529999998</v>
      </c>
      <c r="H51" s="1">
        <v>40</v>
      </c>
      <c r="I51" s="1">
        <v>7</v>
      </c>
      <c r="J51">
        <v>18</v>
      </c>
      <c r="K51" s="1">
        <v>22</v>
      </c>
      <c r="L51" s="1">
        <v>5</v>
      </c>
      <c r="M51" s="4">
        <v>13.0012191780822</v>
      </c>
      <c r="N51" s="4">
        <v>0.5575620767494357</v>
      </c>
      <c r="O51" s="7">
        <v>366.92</v>
      </c>
      <c r="P51" s="7">
        <v>35.200000000000003</v>
      </c>
      <c r="Q51" s="5">
        <v>1.6643333333333299</v>
      </c>
      <c r="R51" s="5">
        <v>0.13466666666666699</v>
      </c>
      <c r="S51" s="1">
        <v>85</v>
      </c>
      <c r="T51" s="1">
        <v>41.961379000000001</v>
      </c>
      <c r="U51" s="1">
        <v>2.3673799999999998</v>
      </c>
      <c r="V51" s="1">
        <v>0</v>
      </c>
      <c r="W51" s="1">
        <v>0</v>
      </c>
      <c r="X51" s="4">
        <f t="shared" si="1"/>
        <v>0.4424379232505643</v>
      </c>
    </row>
    <row r="52" spans="1:26" x14ac:dyDescent="0.2">
      <c r="A52" s="1" t="s">
        <v>54</v>
      </c>
      <c r="B52" s="1" t="s">
        <v>46</v>
      </c>
      <c r="C52" s="1" t="s">
        <v>92</v>
      </c>
      <c r="D52" s="1">
        <v>884.94319007624995</v>
      </c>
      <c r="E52" s="5">
        <v>65.101666666666702</v>
      </c>
      <c r="F52" s="4">
        <v>102.22783540054699</v>
      </c>
      <c r="G52" s="4">
        <v>930.49170300000003</v>
      </c>
      <c r="H52" s="1">
        <v>80</v>
      </c>
      <c r="I52" s="1">
        <v>12</v>
      </c>
      <c r="J52">
        <v>17</v>
      </c>
      <c r="K52" s="1">
        <v>21</v>
      </c>
      <c r="L52" s="1">
        <v>1</v>
      </c>
      <c r="M52" s="4">
        <v>13.0012191780822</v>
      </c>
      <c r="N52" s="4">
        <v>0.55381165919282516</v>
      </c>
      <c r="O52" s="7">
        <v>324.83999999999997</v>
      </c>
      <c r="P52" s="7">
        <v>22.7</v>
      </c>
      <c r="Q52" s="5">
        <v>2.6626666666666701</v>
      </c>
      <c r="R52" s="5">
        <v>0.17933333333333301</v>
      </c>
      <c r="S52" s="1">
        <v>50</v>
      </c>
      <c r="T52" s="1">
        <v>41.963700000000003</v>
      </c>
      <c r="U52" s="1">
        <v>2.3627500000000001</v>
      </c>
      <c r="V52" s="1">
        <v>1</v>
      </c>
      <c r="W52" s="1">
        <v>0</v>
      </c>
      <c r="X52" s="4">
        <f t="shared" si="1"/>
        <v>0.44618834080717484</v>
      </c>
    </row>
    <row r="53" spans="1:26" x14ac:dyDescent="0.2">
      <c r="A53" s="1" t="s">
        <v>55</v>
      </c>
      <c r="B53" s="1" t="s">
        <v>46</v>
      </c>
      <c r="C53" s="1" t="s">
        <v>92</v>
      </c>
      <c r="D53" s="1">
        <v>303.54101100525003</v>
      </c>
      <c r="E53" s="5">
        <v>14.742333333333301</v>
      </c>
      <c r="F53" s="4">
        <v>24.161262309462298</v>
      </c>
      <c r="G53" s="4">
        <v>2664.6171319999999</v>
      </c>
      <c r="H53" s="1">
        <v>20</v>
      </c>
      <c r="I53" s="1">
        <v>11</v>
      </c>
      <c r="J53">
        <v>13</v>
      </c>
      <c r="K53" s="1">
        <v>17</v>
      </c>
      <c r="L53" s="1">
        <v>6</v>
      </c>
      <c r="M53" s="4">
        <v>13.0012191780822</v>
      </c>
      <c r="N53" s="4">
        <v>0.55011135857461024</v>
      </c>
      <c r="O53" s="7">
        <v>128.52000000000001</v>
      </c>
      <c r="P53" s="7">
        <v>56.2</v>
      </c>
      <c r="Q53" s="5">
        <v>0.97466666666666701</v>
      </c>
      <c r="R53" s="5">
        <v>4.6333333333333303E-2</v>
      </c>
      <c r="S53" s="1">
        <v>0</v>
      </c>
      <c r="T53" s="1">
        <v>41.968110000000003</v>
      </c>
      <c r="U53" s="1">
        <v>2.3743300000000001</v>
      </c>
      <c r="V53" s="1">
        <v>0</v>
      </c>
      <c r="W53" s="1">
        <v>0</v>
      </c>
      <c r="X53" s="4">
        <f t="shared" si="1"/>
        <v>0.44988864142538976</v>
      </c>
    </row>
    <row r="54" spans="1:26" x14ac:dyDescent="0.2">
      <c r="A54" s="1" t="s">
        <v>56</v>
      </c>
      <c r="B54" s="1" t="s">
        <v>46</v>
      </c>
      <c r="C54" s="1" t="s">
        <v>92</v>
      </c>
      <c r="D54" s="1">
        <v>1092.14171636336</v>
      </c>
      <c r="E54" s="5">
        <v>194.12</v>
      </c>
      <c r="F54" s="4">
        <v>162.05822272845299</v>
      </c>
      <c r="G54" s="4">
        <v>8033.0037700000003</v>
      </c>
      <c r="H54" s="1">
        <v>60</v>
      </c>
      <c r="I54" s="1">
        <v>13</v>
      </c>
      <c r="J54">
        <v>13</v>
      </c>
      <c r="K54" s="1">
        <v>20</v>
      </c>
      <c r="L54" s="1">
        <v>6</v>
      </c>
      <c r="M54" s="4">
        <v>13.3922739726027</v>
      </c>
      <c r="N54" s="4">
        <v>0.56981132075471697</v>
      </c>
      <c r="O54" s="7">
        <v>248.35</v>
      </c>
      <c r="P54" s="7">
        <v>34.299999999999997</v>
      </c>
      <c r="Q54" s="5">
        <v>4.9359999999999999</v>
      </c>
      <c r="R54" s="5">
        <v>0.30299999999999999</v>
      </c>
      <c r="S54" s="1">
        <v>40</v>
      </c>
      <c r="T54" s="1">
        <v>41.963472000000003</v>
      </c>
      <c r="U54" s="1">
        <v>2.375213</v>
      </c>
      <c r="V54" s="1">
        <v>0</v>
      </c>
      <c r="W54" s="1">
        <v>0</v>
      </c>
      <c r="X54" s="4">
        <f t="shared" si="1"/>
        <v>0.43018867924528303</v>
      </c>
    </row>
    <row r="55" spans="1:26" x14ac:dyDescent="0.2">
      <c r="A55" s="1" t="s">
        <v>57</v>
      </c>
      <c r="B55" s="1" t="s">
        <v>46</v>
      </c>
      <c r="C55" s="1" t="s">
        <v>92</v>
      </c>
      <c r="D55" s="1">
        <v>841.97538879224999</v>
      </c>
      <c r="E55" s="5">
        <v>66.349000000000004</v>
      </c>
      <c r="F55" s="4">
        <v>80.138493344670707</v>
      </c>
      <c r="G55" s="4">
        <v>2176.1743350000002</v>
      </c>
      <c r="H55" s="1">
        <v>20</v>
      </c>
      <c r="I55" s="1">
        <v>10</v>
      </c>
      <c r="J55">
        <v>14</v>
      </c>
      <c r="K55" s="1">
        <v>15</v>
      </c>
      <c r="L55" s="1">
        <v>3</v>
      </c>
      <c r="M55" s="4">
        <v>13.0012191780822</v>
      </c>
      <c r="N55" s="4">
        <v>0.5575620767494357</v>
      </c>
      <c r="O55" s="7">
        <v>55.04</v>
      </c>
      <c r="P55" s="7">
        <v>42.6</v>
      </c>
      <c r="Q55" s="5">
        <v>2.8113333333333301</v>
      </c>
      <c r="R55" s="5">
        <v>0.109</v>
      </c>
      <c r="S55" s="1">
        <v>10</v>
      </c>
      <c r="T55" s="1">
        <v>41.958503999999998</v>
      </c>
      <c r="U55" s="1">
        <v>2.3689078000000001</v>
      </c>
      <c r="V55" s="1">
        <v>0</v>
      </c>
      <c r="W55" s="1">
        <v>0</v>
      </c>
      <c r="X55" s="4">
        <f t="shared" si="1"/>
        <v>0.4424379232505643</v>
      </c>
    </row>
    <row r="56" spans="1:26" x14ac:dyDescent="0.2">
      <c r="A56" s="1" t="s">
        <v>58</v>
      </c>
      <c r="B56" s="1" t="s">
        <v>46</v>
      </c>
      <c r="C56" s="1" t="s">
        <v>93</v>
      </c>
      <c r="D56" s="1">
        <v>5.4445933273750002</v>
      </c>
      <c r="E56" s="5">
        <v>8.5299999999999994</v>
      </c>
      <c r="F56" s="4">
        <v>81.704944243765397</v>
      </c>
      <c r="G56" s="4">
        <v>147.20296300000001</v>
      </c>
      <c r="H56" s="1">
        <v>20</v>
      </c>
      <c r="I56" s="1">
        <v>8</v>
      </c>
      <c r="J56">
        <v>14</v>
      </c>
      <c r="K56" s="1">
        <v>12</v>
      </c>
      <c r="L56" s="1">
        <v>7</v>
      </c>
      <c r="M56" s="4">
        <v>15.8970547945205</v>
      </c>
      <c r="N56" s="4">
        <v>0.57480916030534346</v>
      </c>
      <c r="O56" s="7">
        <v>565.29</v>
      </c>
      <c r="P56" s="7">
        <v>76.400000000000006</v>
      </c>
      <c r="Q56" s="5">
        <v>0.68899999999999995</v>
      </c>
      <c r="R56" s="5">
        <v>2.1999999999999999E-2</v>
      </c>
      <c r="S56" s="1">
        <v>0</v>
      </c>
      <c r="T56" s="1">
        <v>41.828848000000001</v>
      </c>
      <c r="U56" s="1">
        <v>2.718302</v>
      </c>
      <c r="V56" s="1">
        <v>1</v>
      </c>
      <c r="W56" s="1">
        <v>0</v>
      </c>
      <c r="X56" s="4">
        <f t="shared" si="1"/>
        <v>0.42519083969465654</v>
      </c>
    </row>
    <row r="57" spans="1:26" x14ac:dyDescent="0.2">
      <c r="A57" s="1" t="s">
        <v>59</v>
      </c>
      <c r="B57" s="1" t="s">
        <v>46</v>
      </c>
      <c r="C57" s="1" t="s">
        <v>93</v>
      </c>
      <c r="D57" s="1">
        <v>529.38183507983297</v>
      </c>
      <c r="E57" s="5">
        <v>19.279</v>
      </c>
      <c r="F57" s="4">
        <v>14.9847741635738</v>
      </c>
      <c r="G57" s="4">
        <v>36.441417999999999</v>
      </c>
      <c r="H57" s="1">
        <v>20</v>
      </c>
      <c r="I57" s="1">
        <v>8</v>
      </c>
      <c r="J57">
        <v>13</v>
      </c>
      <c r="K57" s="1">
        <v>14</v>
      </c>
      <c r="L57" s="1">
        <v>3</v>
      </c>
      <c r="M57" s="4">
        <v>15.8970547945205</v>
      </c>
      <c r="N57" s="4">
        <v>0.59219586840091809</v>
      </c>
      <c r="O57" s="7">
        <v>56.16</v>
      </c>
      <c r="P57" s="7">
        <v>106.9</v>
      </c>
      <c r="Q57" s="5">
        <v>1.3156666666666701</v>
      </c>
      <c r="R57" s="5">
        <v>0.109</v>
      </c>
      <c r="S57" s="1">
        <v>50</v>
      </c>
      <c r="T57" s="1">
        <v>41.812626999999999</v>
      </c>
      <c r="U57" s="1">
        <v>2.7008429999999999</v>
      </c>
      <c r="V57" s="1">
        <v>1</v>
      </c>
      <c r="W57" s="1">
        <v>0</v>
      </c>
      <c r="X57" s="4">
        <f t="shared" si="1"/>
        <v>0.40780413159908191</v>
      </c>
    </row>
    <row r="58" spans="1:26" x14ac:dyDescent="0.2">
      <c r="A58" s="1" t="s">
        <v>60</v>
      </c>
      <c r="B58" s="1" t="s">
        <v>46</v>
      </c>
      <c r="C58" s="1" t="s">
        <v>93</v>
      </c>
      <c r="D58" s="1">
        <v>171.52076219937501</v>
      </c>
      <c r="E58" s="5">
        <v>29.795000000000002</v>
      </c>
      <c r="F58" s="4">
        <v>103.70132895274099</v>
      </c>
      <c r="G58" s="4">
        <v>8.4228120000000004</v>
      </c>
      <c r="H58" s="1">
        <v>20</v>
      </c>
      <c r="I58" s="1">
        <v>9</v>
      </c>
      <c r="J58">
        <v>12</v>
      </c>
      <c r="K58" s="1">
        <v>8</v>
      </c>
      <c r="L58" s="1">
        <v>1</v>
      </c>
      <c r="M58" s="4">
        <v>15.8970547945205</v>
      </c>
      <c r="N58" s="4">
        <v>0.60200153964588143</v>
      </c>
      <c r="O58" s="7">
        <v>1402.71</v>
      </c>
      <c r="P58" s="7">
        <v>84.3</v>
      </c>
      <c r="Q58" s="5">
        <v>0.77033333333333298</v>
      </c>
      <c r="R58" s="5">
        <v>4.3999999999999997E-2</v>
      </c>
      <c r="S58" s="1">
        <v>95</v>
      </c>
      <c r="T58" s="1">
        <v>41.835918999999997</v>
      </c>
      <c r="U58" s="1">
        <v>2.6991260000000001</v>
      </c>
      <c r="V58" s="1">
        <v>1</v>
      </c>
      <c r="W58" s="1">
        <v>1</v>
      </c>
      <c r="X58" s="4">
        <f t="shared" si="1"/>
        <v>0.39799846035411857</v>
      </c>
    </row>
    <row r="59" spans="1:26" x14ac:dyDescent="0.2">
      <c r="A59" s="1" t="s">
        <v>61</v>
      </c>
      <c r="B59" s="1" t="s">
        <v>46</v>
      </c>
      <c r="C59" s="1" t="s">
        <v>93</v>
      </c>
      <c r="D59" s="1">
        <v>169.56530149599999</v>
      </c>
      <c r="E59" s="5">
        <v>27.737666666666701</v>
      </c>
      <c r="F59" s="4">
        <v>61.146930308779702</v>
      </c>
      <c r="G59" s="4">
        <v>3.7320769999999999</v>
      </c>
      <c r="H59" s="1">
        <v>1</v>
      </c>
      <c r="I59" s="1">
        <v>6</v>
      </c>
      <c r="J59">
        <v>15</v>
      </c>
      <c r="K59" s="1">
        <v>5</v>
      </c>
      <c r="L59" s="1">
        <v>1</v>
      </c>
      <c r="M59" s="4">
        <v>15.8970547945205</v>
      </c>
      <c r="N59" s="4">
        <v>0.57437070938215107</v>
      </c>
      <c r="O59" s="7">
        <v>307.7</v>
      </c>
      <c r="P59" s="7">
        <v>80.400000000000006</v>
      </c>
      <c r="Q59" s="5">
        <v>1.2606666666666699</v>
      </c>
      <c r="R59" s="5">
        <v>6.7333333333333301E-2</v>
      </c>
      <c r="S59" s="1">
        <v>0</v>
      </c>
      <c r="T59" s="1">
        <v>41.819409</v>
      </c>
      <c r="U59" s="1">
        <v>2.7249150000000002</v>
      </c>
      <c r="V59" s="1">
        <v>1</v>
      </c>
      <c r="W59" s="1">
        <v>0</v>
      </c>
      <c r="X59" s="4">
        <f t="shared" si="1"/>
        <v>0.42562929061784893</v>
      </c>
    </row>
    <row r="60" spans="1:26" x14ac:dyDescent="0.2">
      <c r="A60" s="1" t="s">
        <v>62</v>
      </c>
      <c r="B60" s="1" t="s">
        <v>46</v>
      </c>
      <c r="C60" s="1" t="s">
        <v>93</v>
      </c>
      <c r="D60" s="1">
        <v>2438.9258260042898</v>
      </c>
      <c r="E60" s="5">
        <v>36.773666666666699</v>
      </c>
      <c r="F60" s="4">
        <v>1642.81733958838</v>
      </c>
      <c r="G60" s="4">
        <v>146.72560200000001</v>
      </c>
      <c r="H60" s="1">
        <v>60</v>
      </c>
      <c r="I60" s="1">
        <v>10</v>
      </c>
      <c r="J60">
        <v>17</v>
      </c>
      <c r="K60" s="1">
        <v>14</v>
      </c>
      <c r="L60" s="1">
        <v>3</v>
      </c>
      <c r="M60" s="4">
        <v>15.8970547945205</v>
      </c>
      <c r="N60" s="4">
        <v>0.59083969465648856</v>
      </c>
      <c r="O60" s="7">
        <v>101.3</v>
      </c>
      <c r="P60" s="7">
        <v>66.3</v>
      </c>
      <c r="Q60" s="5">
        <v>2.8386666666666698</v>
      </c>
      <c r="R60" s="5">
        <v>0.53233333333333299</v>
      </c>
      <c r="S60" s="1">
        <v>20</v>
      </c>
      <c r="T60" s="1">
        <v>41.8184532</v>
      </c>
      <c r="U60" s="1">
        <v>2.7015890499999999</v>
      </c>
      <c r="V60" s="1">
        <v>1</v>
      </c>
      <c r="W60" s="1">
        <v>1</v>
      </c>
      <c r="X60" s="4">
        <f t="shared" si="1"/>
        <v>0.40916030534351144</v>
      </c>
    </row>
    <row r="61" spans="1:26" x14ac:dyDescent="0.2">
      <c r="A61" s="1" t="s">
        <v>63</v>
      </c>
      <c r="B61" s="1" t="s">
        <v>46</v>
      </c>
      <c r="C61" s="1" t="s">
        <v>93</v>
      </c>
      <c r="D61" s="1">
        <v>195.1729665204</v>
      </c>
      <c r="E61" s="5">
        <v>98.842333333333301</v>
      </c>
      <c r="F61" s="4">
        <v>579.08332422426099</v>
      </c>
      <c r="G61" s="4">
        <v>132.298112</v>
      </c>
      <c r="H61" s="1">
        <v>20</v>
      </c>
      <c r="I61" s="1">
        <v>13</v>
      </c>
      <c r="J61">
        <v>11</v>
      </c>
      <c r="K61" s="1">
        <v>9</v>
      </c>
      <c r="L61" s="1">
        <v>1</v>
      </c>
      <c r="M61" s="4">
        <v>15.8970547945205</v>
      </c>
      <c r="N61" s="4">
        <v>0.57701149425287357</v>
      </c>
      <c r="O61" s="7">
        <v>215.3</v>
      </c>
      <c r="P61" s="7">
        <v>119.9</v>
      </c>
      <c r="Q61" s="5">
        <v>0.93200000000000005</v>
      </c>
      <c r="R61" s="5">
        <v>7.3999999999999996E-2</v>
      </c>
      <c r="S61" s="1">
        <v>85</v>
      </c>
      <c r="T61" s="1">
        <v>41.810645999999998</v>
      </c>
      <c r="U61" s="1">
        <v>2.7088350000000001</v>
      </c>
      <c r="V61" s="1">
        <v>0</v>
      </c>
      <c r="W61" s="1">
        <v>1</v>
      </c>
      <c r="X61" s="4">
        <f t="shared" si="1"/>
        <v>0.42298850574712643</v>
      </c>
    </row>
    <row r="62" spans="1:26" x14ac:dyDescent="0.2">
      <c r="A62"/>
      <c r="B62"/>
      <c r="Y62" s="1"/>
      <c r="Z62" s="1"/>
    </row>
    <row r="63" spans="1:26" x14ac:dyDescent="0.2">
      <c r="A63"/>
      <c r="B63"/>
      <c r="Y63" s="1"/>
      <c r="Z63" s="1"/>
    </row>
    <row r="64" spans="1:26" x14ac:dyDescent="0.2">
      <c r="A64"/>
      <c r="B64"/>
      <c r="Y64" s="1"/>
      <c r="Z64" s="1"/>
    </row>
    <row r="65" spans="1:26" x14ac:dyDescent="0.2">
      <c r="A65"/>
      <c r="B65"/>
      <c r="Y65" s="1"/>
      <c r="Z65" s="1"/>
    </row>
    <row r="66" spans="1:26" x14ac:dyDescent="0.2">
      <c r="A66"/>
      <c r="B66"/>
      <c r="Y66" s="1"/>
      <c r="Z66" s="1"/>
    </row>
    <row r="67" spans="1:26" x14ac:dyDescent="0.2">
      <c r="A67"/>
      <c r="B67"/>
      <c r="Y67" s="1"/>
      <c r="Z67" s="1"/>
    </row>
    <row r="68" spans="1:26" x14ac:dyDescent="0.2">
      <c r="A68"/>
      <c r="B68"/>
      <c r="Y68" s="1"/>
      <c r="Z68" s="1"/>
    </row>
    <row r="69" spans="1:26" x14ac:dyDescent="0.2">
      <c r="A69"/>
      <c r="B69"/>
      <c r="Y69" s="1"/>
      <c r="Z69" s="1"/>
    </row>
    <row r="70" spans="1:26" x14ac:dyDescent="0.2">
      <c r="A70"/>
      <c r="B70"/>
      <c r="Y70" s="1"/>
      <c r="Z70" s="1"/>
    </row>
    <row r="71" spans="1:26" x14ac:dyDescent="0.2">
      <c r="A71"/>
      <c r="B71"/>
      <c r="Y71" s="1"/>
      <c r="Z71" s="1"/>
    </row>
    <row r="72" spans="1:26" x14ac:dyDescent="0.2">
      <c r="A72"/>
      <c r="B72"/>
      <c r="Y72" s="1"/>
      <c r="Z72" s="1"/>
    </row>
    <row r="73" spans="1:26" x14ac:dyDescent="0.2">
      <c r="A73"/>
      <c r="B73"/>
      <c r="Y73" s="1"/>
      <c r="Z73" s="1"/>
    </row>
    <row r="74" spans="1:26" x14ac:dyDescent="0.2">
      <c r="A74"/>
      <c r="B74"/>
      <c r="Y74" s="1"/>
      <c r="Z74" s="1"/>
    </row>
    <row r="75" spans="1:26" x14ac:dyDescent="0.2">
      <c r="A75"/>
      <c r="B75"/>
      <c r="Y75" s="1"/>
      <c r="Z75" s="1"/>
    </row>
    <row r="76" spans="1:26" x14ac:dyDescent="0.2">
      <c r="A76"/>
      <c r="B76"/>
      <c r="Y76" s="1"/>
      <c r="Z76" s="1"/>
    </row>
    <row r="77" spans="1:26" x14ac:dyDescent="0.2">
      <c r="A77"/>
      <c r="B77"/>
      <c r="Y77" s="1"/>
      <c r="Z77" s="1"/>
    </row>
    <row r="78" spans="1:26" x14ac:dyDescent="0.2">
      <c r="A78"/>
      <c r="B78"/>
      <c r="Y78" s="1"/>
      <c r="Z78" s="1"/>
    </row>
    <row r="79" spans="1:26" x14ac:dyDescent="0.2">
      <c r="A79"/>
      <c r="B79"/>
      <c r="Y79" s="1"/>
      <c r="Z79" s="1"/>
    </row>
    <row r="80" spans="1:26" x14ac:dyDescent="0.2">
      <c r="A80"/>
      <c r="B80"/>
      <c r="Y80" s="1"/>
      <c r="Z80" s="1"/>
    </row>
    <row r="81" spans="1:26" x14ac:dyDescent="0.2">
      <c r="A81"/>
      <c r="B81"/>
      <c r="Y81" s="1"/>
      <c r="Z81" s="1"/>
    </row>
    <row r="82" spans="1:26" x14ac:dyDescent="0.2">
      <c r="A82"/>
      <c r="B82"/>
      <c r="Y82" s="1"/>
      <c r="Z82" s="1"/>
    </row>
    <row r="83" spans="1:26" x14ac:dyDescent="0.2">
      <c r="A83"/>
      <c r="B83"/>
      <c r="Y83" s="1"/>
      <c r="Z83" s="1"/>
    </row>
    <row r="84" spans="1:26" x14ac:dyDescent="0.2">
      <c r="A84"/>
      <c r="B84"/>
      <c r="Y84" s="1"/>
      <c r="Z84" s="1"/>
    </row>
    <row r="85" spans="1:26" x14ac:dyDescent="0.2">
      <c r="A85"/>
      <c r="B85"/>
      <c r="Y85" s="1"/>
      <c r="Z85" s="1"/>
    </row>
    <row r="86" spans="1:26" x14ac:dyDescent="0.2">
      <c r="A86"/>
      <c r="B86"/>
      <c r="Y86" s="1"/>
      <c r="Z86" s="1"/>
    </row>
    <row r="87" spans="1:26" x14ac:dyDescent="0.2">
      <c r="A87"/>
      <c r="B87"/>
      <c r="Y87" s="1"/>
      <c r="Z87" s="1"/>
    </row>
    <row r="88" spans="1:26" x14ac:dyDescent="0.2">
      <c r="A88"/>
      <c r="B88"/>
      <c r="Y88" s="1"/>
      <c r="Z88" s="1"/>
    </row>
    <row r="89" spans="1:26" x14ac:dyDescent="0.2">
      <c r="A89"/>
      <c r="B89"/>
      <c r="Y89" s="1"/>
      <c r="Z89" s="1"/>
    </row>
    <row r="90" spans="1:26" x14ac:dyDescent="0.2">
      <c r="A90"/>
      <c r="B90"/>
      <c r="Y90" s="1"/>
      <c r="Z90" s="1"/>
    </row>
    <row r="91" spans="1:26" x14ac:dyDescent="0.2">
      <c r="A91"/>
      <c r="B91"/>
      <c r="Y91" s="1"/>
      <c r="Z91" s="1"/>
    </row>
    <row r="92" spans="1:26" x14ac:dyDescent="0.2">
      <c r="A92"/>
      <c r="B92"/>
      <c r="Y92" s="1"/>
      <c r="Z92" s="1"/>
    </row>
    <row r="93" spans="1:26" x14ac:dyDescent="0.2">
      <c r="A93"/>
      <c r="B93"/>
      <c r="Y93" s="1"/>
      <c r="Z93" s="1"/>
    </row>
    <row r="94" spans="1:26" x14ac:dyDescent="0.2">
      <c r="A94"/>
      <c r="B94"/>
      <c r="Y94" s="1"/>
      <c r="Z94" s="1"/>
    </row>
    <row r="95" spans="1:26" x14ac:dyDescent="0.2">
      <c r="A95"/>
      <c r="B95"/>
      <c r="Y95" s="1"/>
      <c r="Z95" s="1"/>
    </row>
    <row r="96" spans="1:26" x14ac:dyDescent="0.2">
      <c r="A96"/>
      <c r="B96"/>
      <c r="Y96" s="1"/>
      <c r="Z96" s="1"/>
    </row>
    <row r="97" spans="1:26" x14ac:dyDescent="0.2">
      <c r="A97"/>
      <c r="B97"/>
      <c r="Y97" s="1"/>
      <c r="Z97" s="1"/>
    </row>
    <row r="98" spans="1:26" x14ac:dyDescent="0.2">
      <c r="A98"/>
      <c r="B98"/>
      <c r="Y98" s="1"/>
      <c r="Z98" s="1"/>
    </row>
    <row r="99" spans="1:26" x14ac:dyDescent="0.2">
      <c r="A99"/>
      <c r="B99"/>
      <c r="Y99" s="1"/>
      <c r="Z99" s="1"/>
    </row>
    <row r="100" spans="1:26" x14ac:dyDescent="0.2">
      <c r="A100"/>
      <c r="B100"/>
      <c r="Y100" s="1"/>
      <c r="Z100" s="1"/>
    </row>
    <row r="101" spans="1:26" x14ac:dyDescent="0.2">
      <c r="A101"/>
      <c r="B101"/>
      <c r="Y101" s="1"/>
      <c r="Z101" s="1"/>
    </row>
    <row r="102" spans="1:26" x14ac:dyDescent="0.2">
      <c r="A102"/>
      <c r="B102"/>
      <c r="Y102" s="1"/>
      <c r="Z102" s="1"/>
    </row>
    <row r="103" spans="1:26" x14ac:dyDescent="0.2">
      <c r="A103"/>
      <c r="B103"/>
      <c r="Y103" s="1"/>
      <c r="Z103" s="1"/>
    </row>
    <row r="104" spans="1:26" x14ac:dyDescent="0.2">
      <c r="A104"/>
      <c r="B104"/>
      <c r="Y104" s="1"/>
      <c r="Z104" s="1"/>
    </row>
    <row r="105" spans="1:26" x14ac:dyDescent="0.2">
      <c r="A105"/>
      <c r="B105"/>
      <c r="Y105" s="1"/>
      <c r="Z105" s="1"/>
    </row>
    <row r="106" spans="1:26" x14ac:dyDescent="0.2">
      <c r="A106"/>
      <c r="B106"/>
      <c r="Y106" s="1"/>
      <c r="Z106" s="1"/>
    </row>
    <row r="107" spans="1:26" x14ac:dyDescent="0.2">
      <c r="A107"/>
      <c r="B107"/>
      <c r="Y107" s="1"/>
      <c r="Z107" s="1"/>
    </row>
    <row r="108" spans="1:26" x14ac:dyDescent="0.2">
      <c r="A108"/>
      <c r="B108"/>
      <c r="Y108" s="1"/>
      <c r="Z108" s="1"/>
    </row>
    <row r="109" spans="1:26" x14ac:dyDescent="0.2">
      <c r="A109"/>
      <c r="B109"/>
      <c r="Y109" s="1"/>
      <c r="Z109" s="1"/>
    </row>
    <row r="110" spans="1:26" x14ac:dyDescent="0.2">
      <c r="A110"/>
      <c r="B110"/>
      <c r="Y110" s="1"/>
      <c r="Z110" s="1"/>
    </row>
    <row r="111" spans="1:26" x14ac:dyDescent="0.2">
      <c r="A111"/>
      <c r="B111"/>
      <c r="Y111" s="1"/>
      <c r="Z111" s="1"/>
    </row>
    <row r="112" spans="1:26" x14ac:dyDescent="0.2">
      <c r="A112"/>
      <c r="B112"/>
      <c r="Y112" s="1"/>
      <c r="Z112" s="1"/>
    </row>
    <row r="113" spans="1:26" x14ac:dyDescent="0.2">
      <c r="A113"/>
      <c r="B113"/>
      <c r="Y113" s="1"/>
      <c r="Z113" s="1"/>
    </row>
    <row r="114" spans="1:26" x14ac:dyDescent="0.2">
      <c r="A114"/>
      <c r="B114"/>
      <c r="Y114" s="1"/>
      <c r="Z114" s="1"/>
    </row>
    <row r="115" spans="1:26" x14ac:dyDescent="0.2">
      <c r="A115"/>
      <c r="B115"/>
      <c r="Y115" s="1"/>
      <c r="Z115" s="1"/>
    </row>
    <row r="116" spans="1:26" x14ac:dyDescent="0.2">
      <c r="A116"/>
      <c r="B116"/>
      <c r="Y116" s="1"/>
      <c r="Z116" s="1"/>
    </row>
    <row r="117" spans="1:26" x14ac:dyDescent="0.2">
      <c r="A117"/>
      <c r="B117"/>
      <c r="Y117" s="1"/>
      <c r="Z117" s="1"/>
    </row>
    <row r="118" spans="1:26" x14ac:dyDescent="0.2">
      <c r="A118"/>
      <c r="B118"/>
      <c r="Y118" s="1"/>
      <c r="Z118" s="1"/>
    </row>
    <row r="119" spans="1:26" x14ac:dyDescent="0.2">
      <c r="A119"/>
      <c r="B119"/>
      <c r="Y119" s="1"/>
      <c r="Z119" s="1"/>
    </row>
    <row r="120" spans="1:26" x14ac:dyDescent="0.2">
      <c r="A120"/>
      <c r="B120"/>
      <c r="Y120" s="1"/>
      <c r="Z120" s="1"/>
    </row>
    <row r="121" spans="1:26" x14ac:dyDescent="0.2">
      <c r="A121"/>
      <c r="B121"/>
      <c r="Y121" s="1"/>
      <c r="Z121" s="1"/>
    </row>
    <row r="122" spans="1:26" x14ac:dyDescent="0.2">
      <c r="A122"/>
      <c r="B122"/>
      <c r="Y122" s="1"/>
      <c r="Z122" s="1"/>
    </row>
    <row r="123" spans="1:26" x14ac:dyDescent="0.2">
      <c r="A123"/>
      <c r="B123"/>
      <c r="Y123" s="1"/>
      <c r="Z123" s="1"/>
    </row>
    <row r="124" spans="1:26" x14ac:dyDescent="0.2">
      <c r="A124"/>
      <c r="B124"/>
      <c r="Y124" s="1"/>
      <c r="Z124" s="1"/>
    </row>
    <row r="125" spans="1:26" x14ac:dyDescent="0.2">
      <c r="A125"/>
      <c r="B125"/>
      <c r="Y125" s="1"/>
      <c r="Z125" s="1"/>
    </row>
    <row r="126" spans="1:26" x14ac:dyDescent="0.2">
      <c r="A126"/>
      <c r="B126"/>
      <c r="Y126" s="1"/>
      <c r="Z126" s="1"/>
    </row>
    <row r="127" spans="1:26" x14ac:dyDescent="0.2">
      <c r="A127"/>
      <c r="B127"/>
      <c r="Y127" s="1"/>
      <c r="Z127" s="1"/>
    </row>
    <row r="128" spans="1:26" x14ac:dyDescent="0.2">
      <c r="A128"/>
      <c r="B128"/>
      <c r="Y128" s="1"/>
      <c r="Z128" s="1"/>
    </row>
    <row r="129" spans="1:26" x14ac:dyDescent="0.2">
      <c r="A129"/>
      <c r="B129"/>
      <c r="Y129" s="1"/>
      <c r="Z129" s="1"/>
    </row>
    <row r="130" spans="1:26" x14ac:dyDescent="0.2">
      <c r="A130"/>
      <c r="B130"/>
      <c r="Y130" s="1"/>
      <c r="Z130" s="1"/>
    </row>
    <row r="131" spans="1:26" x14ac:dyDescent="0.2">
      <c r="A131"/>
      <c r="B131"/>
      <c r="Y131" s="1"/>
      <c r="Z131" s="1"/>
    </row>
    <row r="132" spans="1:26" x14ac:dyDescent="0.2">
      <c r="A132"/>
      <c r="B132"/>
      <c r="Y132" s="1"/>
      <c r="Z132" s="1"/>
    </row>
    <row r="133" spans="1:26" x14ac:dyDescent="0.2">
      <c r="A133"/>
      <c r="B133"/>
      <c r="Y133" s="1"/>
      <c r="Z133" s="1"/>
    </row>
    <row r="134" spans="1:26" x14ac:dyDescent="0.2">
      <c r="A134"/>
      <c r="B134"/>
      <c r="Y134" s="1"/>
      <c r="Z134" s="1"/>
    </row>
    <row r="135" spans="1:26" x14ac:dyDescent="0.2">
      <c r="A135"/>
      <c r="B135"/>
      <c r="Y135" s="1"/>
      <c r="Z135" s="1"/>
    </row>
    <row r="136" spans="1:26" x14ac:dyDescent="0.2">
      <c r="A136"/>
      <c r="B136"/>
      <c r="Y136" s="1"/>
      <c r="Z136" s="1"/>
    </row>
    <row r="137" spans="1:26" x14ac:dyDescent="0.2">
      <c r="A137"/>
      <c r="B137"/>
      <c r="Y137" s="1"/>
      <c r="Z137" s="1"/>
    </row>
    <row r="138" spans="1:26" x14ac:dyDescent="0.2">
      <c r="A138"/>
      <c r="B138"/>
      <c r="Y138" s="1"/>
      <c r="Z138" s="1"/>
    </row>
    <row r="139" spans="1:26" x14ac:dyDescent="0.2">
      <c r="A139"/>
      <c r="B139"/>
      <c r="Y139" s="1"/>
      <c r="Z139" s="1"/>
    </row>
    <row r="140" spans="1:26" x14ac:dyDescent="0.2">
      <c r="A140"/>
      <c r="B140"/>
      <c r="Y140" s="1"/>
      <c r="Z140" s="1"/>
    </row>
    <row r="141" spans="1:26" x14ac:dyDescent="0.2">
      <c r="A141"/>
      <c r="B141"/>
      <c r="Y141" s="1"/>
      <c r="Z141" s="1"/>
    </row>
    <row r="142" spans="1:26" x14ac:dyDescent="0.2">
      <c r="A142"/>
      <c r="B142"/>
      <c r="Y142" s="1"/>
      <c r="Z142" s="1"/>
    </row>
    <row r="143" spans="1:26" x14ac:dyDescent="0.2">
      <c r="A143"/>
      <c r="B143"/>
      <c r="Y143" s="1"/>
      <c r="Z143" s="1"/>
    </row>
    <row r="144" spans="1:26" x14ac:dyDescent="0.2">
      <c r="A144"/>
      <c r="B144"/>
      <c r="Y144" s="1"/>
      <c r="Z144" s="1"/>
    </row>
    <row r="145" spans="1:26" x14ac:dyDescent="0.2">
      <c r="A145"/>
      <c r="B145"/>
      <c r="Y145" s="1"/>
      <c r="Z145" s="1"/>
    </row>
    <row r="146" spans="1:26" x14ac:dyDescent="0.2">
      <c r="A146"/>
      <c r="B146"/>
      <c r="Y146" s="1"/>
      <c r="Z146" s="1"/>
    </row>
    <row r="147" spans="1:26" x14ac:dyDescent="0.2">
      <c r="A147"/>
      <c r="B147"/>
      <c r="Y147" s="1"/>
      <c r="Z147" s="1"/>
    </row>
    <row r="148" spans="1:26" x14ac:dyDescent="0.2">
      <c r="A148"/>
      <c r="B148"/>
      <c r="Y148" s="1"/>
      <c r="Z148" s="1"/>
    </row>
  </sheetData>
  <autoFilter ref="A1:X61" xr:uid="{4C75DA30-2FDB-7A4D-B3BF-2844CF413D35}"/>
  <sortState xmlns:xlrd2="http://schemas.microsoft.com/office/spreadsheetml/2017/richdata2" ref="A2:X148">
    <sortCondition ref="B2:B148"/>
    <sortCondition ref="C2:C14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167F-E60D-E745-BEB3-66773FCA9F75}">
  <dimension ref="A1:AB148"/>
  <sheetViews>
    <sheetView workbookViewId="0">
      <selection activeCell="F46" sqref="F46"/>
    </sheetView>
  </sheetViews>
  <sheetFormatPr baseColWidth="10" defaultRowHeight="16" x14ac:dyDescent="0.2"/>
  <cols>
    <col min="1" max="26" width="10.83203125" style="1"/>
    <col min="29" max="16384" width="10.83203125" style="1"/>
  </cols>
  <sheetData>
    <row r="1" spans="1:26" x14ac:dyDescent="0.2">
      <c r="A1" s="1" t="s">
        <v>0</v>
      </c>
      <c r="B1" s="1" t="s">
        <v>1</v>
      </c>
      <c r="C1" s="1" t="s">
        <v>85</v>
      </c>
      <c r="D1" s="2" t="s">
        <v>76</v>
      </c>
      <c r="E1" s="3" t="s">
        <v>77</v>
      </c>
      <c r="F1" s="3" t="s">
        <v>2</v>
      </c>
      <c r="G1" s="3" t="s">
        <v>3</v>
      </c>
      <c r="H1" s="3" t="s">
        <v>80</v>
      </c>
      <c r="I1" s="3" t="s">
        <v>96</v>
      </c>
      <c r="J1" s="3" t="s">
        <v>97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83</v>
      </c>
      <c r="P1" s="1" t="s">
        <v>84</v>
      </c>
      <c r="Q1" s="1" t="s">
        <v>10</v>
      </c>
      <c r="R1" s="1" t="s">
        <v>11</v>
      </c>
      <c r="S1" s="1" t="s">
        <v>78</v>
      </c>
      <c r="T1" s="1" t="s">
        <v>79</v>
      </c>
      <c r="U1" s="1" t="s">
        <v>82</v>
      </c>
      <c r="V1" s="1" t="s">
        <v>12</v>
      </c>
      <c r="W1" s="1" t="s">
        <v>13</v>
      </c>
      <c r="X1" s="1" t="s">
        <v>8</v>
      </c>
      <c r="Y1" s="1" t="s">
        <v>9</v>
      </c>
      <c r="Z1" s="1" t="s">
        <v>81</v>
      </c>
    </row>
    <row r="2" spans="1:26" x14ac:dyDescent="0.2">
      <c r="A2" s="1" t="s">
        <v>19</v>
      </c>
      <c r="B2" s="1" t="s">
        <v>14</v>
      </c>
      <c r="C2" s="1" t="s">
        <v>88</v>
      </c>
      <c r="D2" s="1">
        <v>599.64416554750005</v>
      </c>
      <c r="E2" s="5">
        <v>32.1933333333333</v>
      </c>
      <c r="F2" s="4">
        <v>927.18043137373002</v>
      </c>
      <c r="G2" s="4">
        <v>56.569256071898003</v>
      </c>
      <c r="H2" s="1">
        <v>10</v>
      </c>
      <c r="I2" s="1">
        <v>3.4599999999999999E-2</v>
      </c>
      <c r="J2" s="1">
        <v>-0.32663768646899499</v>
      </c>
      <c r="K2" s="1">
        <v>21</v>
      </c>
      <c r="L2">
        <v>14</v>
      </c>
      <c r="M2" s="1">
        <v>19</v>
      </c>
      <c r="N2" s="1">
        <v>2</v>
      </c>
      <c r="O2" s="4">
        <v>10.209383561643801</v>
      </c>
      <c r="P2" s="4">
        <v>0.95936139332365744</v>
      </c>
      <c r="Q2" s="7">
        <v>3360</v>
      </c>
      <c r="R2" s="7">
        <v>150</v>
      </c>
      <c r="S2" s="5">
        <v>3.5249999999999999</v>
      </c>
      <c r="T2" s="5">
        <v>0.36766666666666697</v>
      </c>
      <c r="U2" s="1">
        <v>93</v>
      </c>
      <c r="V2" s="1">
        <v>54.85707</v>
      </c>
      <c r="W2" s="1">
        <v>10.39068</v>
      </c>
      <c r="X2" s="1">
        <v>1</v>
      </c>
      <c r="Y2" s="1">
        <v>1</v>
      </c>
      <c r="Z2" s="4">
        <f t="shared" ref="Z2:Z61" si="0">1-P2</f>
        <v>4.0638606676342559E-2</v>
      </c>
    </row>
    <row r="3" spans="1:26" x14ac:dyDescent="0.2">
      <c r="A3" s="1" t="s">
        <v>20</v>
      </c>
      <c r="B3" s="1" t="s">
        <v>14</v>
      </c>
      <c r="C3" s="1" t="s">
        <v>88</v>
      </c>
      <c r="D3" s="1">
        <v>452.60165372366703</v>
      </c>
      <c r="E3" s="5">
        <v>21.468</v>
      </c>
      <c r="F3" s="4">
        <v>1117.22551420332</v>
      </c>
      <c r="G3" s="4">
        <v>505.34452574058099</v>
      </c>
      <c r="H3" s="1">
        <v>35</v>
      </c>
      <c r="I3" s="1">
        <v>7.7600000000000002E-2</v>
      </c>
      <c r="J3" s="1">
        <v>-0.32692651322706501</v>
      </c>
      <c r="K3" s="1">
        <v>14</v>
      </c>
      <c r="L3">
        <v>15</v>
      </c>
      <c r="M3" s="1">
        <v>20</v>
      </c>
      <c r="N3" s="1">
        <v>3</v>
      </c>
      <c r="O3" s="4">
        <v>9.9439863013698595</v>
      </c>
      <c r="P3" s="8">
        <v>0.97599999999999998</v>
      </c>
      <c r="Q3" s="7">
        <v>240</v>
      </c>
      <c r="R3" s="7">
        <v>130</v>
      </c>
      <c r="S3" s="5">
        <v>1.0033333333333301</v>
      </c>
      <c r="T3" s="5">
        <v>0.12766666666666701</v>
      </c>
      <c r="U3" s="1">
        <v>90</v>
      </c>
      <c r="V3" s="1">
        <v>54.901429999999998</v>
      </c>
      <c r="W3" s="1">
        <v>10.33348</v>
      </c>
      <c r="X3" s="1">
        <v>1</v>
      </c>
      <c r="Y3" s="1">
        <v>1</v>
      </c>
      <c r="Z3" s="4">
        <f t="shared" si="0"/>
        <v>2.4000000000000021E-2</v>
      </c>
    </row>
    <row r="4" spans="1:26" x14ac:dyDescent="0.2">
      <c r="A4" s="1" t="s">
        <v>21</v>
      </c>
      <c r="B4" s="1" t="s">
        <v>14</v>
      </c>
      <c r="C4" s="1" t="s">
        <v>88</v>
      </c>
      <c r="D4" s="1">
        <v>183.18576537925</v>
      </c>
      <c r="E4" s="5">
        <v>23.8466666666667</v>
      </c>
      <c r="F4" s="4">
        <v>2008.9424880153699</v>
      </c>
      <c r="G4" s="4">
        <v>342.28999868523198</v>
      </c>
      <c r="H4" s="1">
        <v>10</v>
      </c>
      <c r="I4" s="1">
        <v>1.5864</v>
      </c>
      <c r="J4" s="1">
        <v>-0.93369925906335749</v>
      </c>
      <c r="K4" s="1">
        <v>12</v>
      </c>
      <c r="L4">
        <v>12</v>
      </c>
      <c r="M4" s="1">
        <v>8</v>
      </c>
      <c r="N4" s="1">
        <v>4</v>
      </c>
      <c r="O4" s="4">
        <v>9.9439863013698595</v>
      </c>
      <c r="P4" s="4">
        <v>0.99269005847953218</v>
      </c>
      <c r="Q4" s="7">
        <v>820</v>
      </c>
      <c r="R4" s="7">
        <v>60</v>
      </c>
      <c r="S4" s="5">
        <v>1.8985000000000001</v>
      </c>
      <c r="T4" s="5">
        <v>0.42049999999999998</v>
      </c>
      <c r="U4" s="1">
        <v>90</v>
      </c>
      <c r="V4" s="1">
        <v>54.902290000000001</v>
      </c>
      <c r="W4" s="1">
        <v>10.318659999999999</v>
      </c>
      <c r="X4" s="1">
        <v>1</v>
      </c>
      <c r="Y4" s="1">
        <v>0</v>
      </c>
      <c r="Z4" s="4">
        <f t="shared" si="0"/>
        <v>7.309941520467822E-3</v>
      </c>
    </row>
    <row r="5" spans="1:26" x14ac:dyDescent="0.2">
      <c r="A5" s="1" t="s">
        <v>37</v>
      </c>
      <c r="B5" s="1" t="s">
        <v>14</v>
      </c>
      <c r="C5" s="1" t="s">
        <v>88</v>
      </c>
      <c r="D5" s="1">
        <v>323.50715966383302</v>
      </c>
      <c r="E5" s="5">
        <v>17.016666666666701</v>
      </c>
      <c r="F5" s="4">
        <v>269.09565056714098</v>
      </c>
      <c r="G5" s="4">
        <v>3943.0460434757001</v>
      </c>
      <c r="H5" s="1">
        <v>25</v>
      </c>
      <c r="J5" s="1">
        <v>-0.60695606516196055</v>
      </c>
      <c r="K5" s="1">
        <v>22</v>
      </c>
      <c r="L5">
        <v>13</v>
      </c>
      <c r="M5" s="1">
        <v>21</v>
      </c>
      <c r="N5" s="1">
        <v>2</v>
      </c>
      <c r="O5" s="4">
        <v>10.1874383561644</v>
      </c>
      <c r="P5" s="4">
        <v>1.0151285930408471</v>
      </c>
      <c r="Q5" s="7">
        <v>190</v>
      </c>
      <c r="R5" s="7">
        <v>50</v>
      </c>
      <c r="S5" s="5">
        <v>0.92800000000000005</v>
      </c>
      <c r="T5" s="5">
        <v>0.50249999999999995</v>
      </c>
      <c r="U5" s="1">
        <v>80</v>
      </c>
      <c r="V5" s="1">
        <v>54.874319999999997</v>
      </c>
      <c r="W5" s="1">
        <v>10.328749999999999</v>
      </c>
      <c r="X5" s="1">
        <v>1</v>
      </c>
      <c r="Y5" s="1">
        <v>0</v>
      </c>
      <c r="Z5" s="4">
        <f t="shared" si="0"/>
        <v>-1.5128593040847127E-2</v>
      </c>
    </row>
    <row r="6" spans="1:26" x14ac:dyDescent="0.2">
      <c r="A6" s="1" t="s">
        <v>43</v>
      </c>
      <c r="B6" s="1" t="s">
        <v>14</v>
      </c>
      <c r="C6" s="1" t="s">
        <v>88</v>
      </c>
      <c r="D6" s="1">
        <v>138.71160521224999</v>
      </c>
      <c r="E6" s="5">
        <v>9.3979999999999997</v>
      </c>
      <c r="F6" s="4">
        <v>554.03481975113402</v>
      </c>
      <c r="G6" s="4">
        <v>133.520555179214</v>
      </c>
      <c r="H6" s="1">
        <v>1</v>
      </c>
      <c r="J6" s="1">
        <v>6.3315022097929399E-2</v>
      </c>
      <c r="K6" s="1">
        <v>16</v>
      </c>
      <c r="L6">
        <v>14</v>
      </c>
      <c r="M6" s="1">
        <v>13</v>
      </c>
      <c r="N6" s="1">
        <v>3</v>
      </c>
      <c r="O6" s="4">
        <v>10.1874383561644</v>
      </c>
      <c r="P6" s="4">
        <v>1.0104790419161678</v>
      </c>
      <c r="Q6" s="7">
        <v>590</v>
      </c>
      <c r="R6" s="7">
        <v>80</v>
      </c>
      <c r="S6" s="5">
        <v>1.03666666666667</v>
      </c>
      <c r="T6" s="5">
        <v>0.542333333333333</v>
      </c>
      <c r="U6" s="1">
        <v>90</v>
      </c>
      <c r="V6" s="1">
        <v>54.870570000000001</v>
      </c>
      <c r="W6" s="1">
        <v>10.336449999999999</v>
      </c>
      <c r="X6" s="1">
        <v>0</v>
      </c>
      <c r="Y6" s="1">
        <v>1</v>
      </c>
      <c r="Z6" s="4">
        <f t="shared" si="0"/>
        <v>-1.0479041916167775E-2</v>
      </c>
    </row>
    <row r="7" spans="1:26" x14ac:dyDescent="0.2">
      <c r="A7" s="1" t="s">
        <v>44</v>
      </c>
      <c r="B7" s="1" t="s">
        <v>14</v>
      </c>
      <c r="C7" s="1" t="s">
        <v>88</v>
      </c>
      <c r="D7" s="1">
        <v>401.20697245349999</v>
      </c>
      <c r="E7" s="5">
        <v>222.1275</v>
      </c>
      <c r="F7" s="4">
        <v>698.029992084534</v>
      </c>
      <c r="G7" s="4">
        <v>669.441545383277</v>
      </c>
      <c r="H7" s="1">
        <v>1</v>
      </c>
      <c r="I7" s="1">
        <v>6.3399999999999998E-2</v>
      </c>
      <c r="J7" s="1">
        <v>-1.5215799413105273</v>
      </c>
      <c r="K7" s="1">
        <v>12</v>
      </c>
      <c r="L7">
        <v>19</v>
      </c>
      <c r="M7" s="1">
        <v>14</v>
      </c>
      <c r="N7" s="1">
        <v>3</v>
      </c>
      <c r="O7" s="4">
        <v>9.9657671232876694</v>
      </c>
      <c r="P7" s="4">
        <v>1.0150375939849625</v>
      </c>
      <c r="Q7" s="7">
        <v>645</v>
      </c>
      <c r="R7" s="7">
        <v>60</v>
      </c>
      <c r="S7" s="5">
        <v>3.9503333333333299</v>
      </c>
      <c r="T7" s="5">
        <v>0.913333333333333</v>
      </c>
      <c r="U7" s="1">
        <v>80</v>
      </c>
      <c r="V7" s="1">
        <v>54.865519999999997</v>
      </c>
      <c r="W7" s="1">
        <v>10.34834</v>
      </c>
      <c r="X7" s="1">
        <v>1</v>
      </c>
      <c r="Y7" s="1">
        <v>1</v>
      </c>
      <c r="Z7" s="4">
        <f t="shared" si="0"/>
        <v>-1.5037593984962516E-2</v>
      </c>
    </row>
    <row r="8" spans="1:26" x14ac:dyDescent="0.2">
      <c r="A8" s="1" t="s">
        <v>18</v>
      </c>
      <c r="B8" s="1" t="s">
        <v>14</v>
      </c>
      <c r="C8" s="1" t="s">
        <v>87</v>
      </c>
      <c r="D8" s="1">
        <v>210.84861848560001</v>
      </c>
      <c r="E8" s="5">
        <v>15.675000000000001</v>
      </c>
      <c r="F8" s="4">
        <v>1542.22383363022</v>
      </c>
      <c r="G8" s="4">
        <v>86.680738564865507</v>
      </c>
      <c r="H8" s="1">
        <v>10</v>
      </c>
      <c r="J8" s="1">
        <v>0.67573308017276801</v>
      </c>
      <c r="K8" s="1">
        <v>6</v>
      </c>
      <c r="L8">
        <v>13</v>
      </c>
      <c r="M8" s="1">
        <v>11</v>
      </c>
      <c r="N8" s="1">
        <v>3</v>
      </c>
      <c r="O8" s="4">
        <v>9.9439863013698595</v>
      </c>
      <c r="P8" s="4">
        <v>0.96592592592592597</v>
      </c>
      <c r="Q8" s="7">
        <v>500</v>
      </c>
      <c r="R8" s="7">
        <v>70</v>
      </c>
      <c r="S8" s="5">
        <v>2.2246666666666699</v>
      </c>
      <c r="T8" s="5">
        <v>0.76066666666666705</v>
      </c>
      <c r="U8" s="1">
        <v>80</v>
      </c>
      <c r="V8" s="1">
        <v>55.030059999999999</v>
      </c>
      <c r="W8" s="1">
        <v>10.26042</v>
      </c>
      <c r="X8" s="1">
        <v>1</v>
      </c>
      <c r="Y8" s="1">
        <v>1</v>
      </c>
      <c r="Z8" s="4">
        <f t="shared" si="0"/>
        <v>3.4074074074074034E-2</v>
      </c>
    </row>
    <row r="9" spans="1:26" x14ac:dyDescent="0.2">
      <c r="A9" s="1" t="s">
        <v>23</v>
      </c>
      <c r="B9" s="1" t="s">
        <v>14</v>
      </c>
      <c r="C9" s="1" t="s">
        <v>87</v>
      </c>
      <c r="D9" s="1">
        <v>330.30620537733301</v>
      </c>
      <c r="E9" s="5">
        <v>16.605</v>
      </c>
      <c r="F9" s="4">
        <v>689.30529730407295</v>
      </c>
      <c r="G9" s="4">
        <v>252.55919342081799</v>
      </c>
      <c r="H9" s="1">
        <v>60</v>
      </c>
      <c r="I9" s="1">
        <v>0.23980000000000001</v>
      </c>
      <c r="J9" s="1">
        <v>1.2506280365527769</v>
      </c>
      <c r="K9" s="1">
        <v>15</v>
      </c>
      <c r="L9">
        <v>16</v>
      </c>
      <c r="M9" s="1">
        <v>13</v>
      </c>
      <c r="N9" s="1">
        <v>4</v>
      </c>
      <c r="O9" s="4">
        <v>9.9439863013698595</v>
      </c>
      <c r="P9" s="4">
        <v>0.96449704142011838</v>
      </c>
      <c r="Q9" s="7">
        <v>830</v>
      </c>
      <c r="R9" s="7">
        <v>70</v>
      </c>
      <c r="S9" s="5">
        <v>1.909</v>
      </c>
      <c r="T9" s="5">
        <v>0.36733333333333301</v>
      </c>
      <c r="U9" s="1">
        <v>80</v>
      </c>
      <c r="V9" s="1">
        <v>55.02196</v>
      </c>
      <c r="W9" s="1">
        <v>10.259309999999999</v>
      </c>
      <c r="X9" s="1">
        <v>0</v>
      </c>
      <c r="Y9" s="1">
        <v>1</v>
      </c>
      <c r="Z9" s="4">
        <f t="shared" si="0"/>
        <v>3.5502958579881616E-2</v>
      </c>
    </row>
    <row r="10" spans="1:26" x14ac:dyDescent="0.2">
      <c r="A10" s="1" t="s">
        <v>25</v>
      </c>
      <c r="B10" s="1" t="s">
        <v>14</v>
      </c>
      <c r="C10" s="1" t="s">
        <v>87</v>
      </c>
      <c r="D10" s="1">
        <v>481.91166636650001</v>
      </c>
      <c r="E10" s="5">
        <v>21.92</v>
      </c>
      <c r="F10" s="4">
        <v>308.84161020676697</v>
      </c>
      <c r="G10" s="4">
        <v>277.56376706018602</v>
      </c>
      <c r="H10" s="1">
        <v>1</v>
      </c>
      <c r="J10" s="1">
        <v>-1.1988829693850005</v>
      </c>
      <c r="K10" s="1">
        <v>22</v>
      </c>
      <c r="L10">
        <v>12</v>
      </c>
      <c r="M10" s="1">
        <v>18</v>
      </c>
      <c r="N10" s="1">
        <v>4</v>
      </c>
      <c r="O10" s="4">
        <v>9.9439863013698595</v>
      </c>
      <c r="P10" s="4">
        <v>0.96307237813884783</v>
      </c>
      <c r="Q10" s="7">
        <v>770</v>
      </c>
      <c r="R10" s="7">
        <v>70</v>
      </c>
      <c r="S10" s="5">
        <v>1.50966666666667</v>
      </c>
      <c r="T10" s="5">
        <v>0.835666666666667</v>
      </c>
      <c r="U10" s="1">
        <v>80</v>
      </c>
      <c r="V10" s="1">
        <v>55.021419999999999</v>
      </c>
      <c r="W10" s="1">
        <v>10.256119999999999</v>
      </c>
      <c r="X10" s="1">
        <v>0</v>
      </c>
      <c r="Y10" s="1">
        <v>1</v>
      </c>
      <c r="Z10" s="4">
        <f t="shared" si="0"/>
        <v>3.6927621861152171E-2</v>
      </c>
    </row>
    <row r="11" spans="1:26" x14ac:dyDescent="0.2">
      <c r="A11" s="1" t="s">
        <v>29</v>
      </c>
      <c r="B11" s="1" t="s">
        <v>14</v>
      </c>
      <c r="C11" s="1" t="s">
        <v>87</v>
      </c>
      <c r="D11" s="1">
        <v>105.7708460635</v>
      </c>
      <c r="E11" s="5">
        <v>40.027500000000003</v>
      </c>
      <c r="F11" s="4">
        <v>450.42844400278398</v>
      </c>
      <c r="G11" s="4">
        <v>55.301541969318599</v>
      </c>
      <c r="H11" s="1">
        <v>1</v>
      </c>
      <c r="I11" s="1">
        <v>0.24199999999999999</v>
      </c>
      <c r="J11" s="1">
        <v>-0.65628947949346705</v>
      </c>
      <c r="K11" s="1">
        <v>14</v>
      </c>
      <c r="L11">
        <v>14</v>
      </c>
      <c r="M11" s="1">
        <v>11</v>
      </c>
      <c r="N11" s="1">
        <v>3</v>
      </c>
      <c r="O11" s="4">
        <v>9.9439863013698595</v>
      </c>
      <c r="P11" s="4">
        <v>0.96449704142011838</v>
      </c>
      <c r="Q11" s="7">
        <v>710</v>
      </c>
      <c r="R11" s="7">
        <v>70</v>
      </c>
      <c r="S11" s="5">
        <v>1.6783333333333299</v>
      </c>
      <c r="T11" s="5">
        <v>0.87566666666666704</v>
      </c>
      <c r="U11" s="1">
        <v>80</v>
      </c>
      <c r="V11" s="1">
        <v>55.022359999999999</v>
      </c>
      <c r="W11" s="1">
        <v>10.264340000000001</v>
      </c>
      <c r="X11" s="1">
        <v>1</v>
      </c>
      <c r="Y11" s="1">
        <v>1</v>
      </c>
      <c r="Z11" s="4">
        <f t="shared" si="0"/>
        <v>3.5502958579881616E-2</v>
      </c>
    </row>
    <row r="12" spans="1:26" x14ac:dyDescent="0.2">
      <c r="A12" s="1" t="s">
        <v>32</v>
      </c>
      <c r="B12" s="1" t="s">
        <v>14</v>
      </c>
      <c r="C12" s="1" t="s">
        <v>87</v>
      </c>
      <c r="D12" s="1">
        <v>203.1254751255</v>
      </c>
      <c r="E12" s="5">
        <v>21.362500000000001</v>
      </c>
      <c r="F12" s="4">
        <v>941.009682443771</v>
      </c>
      <c r="G12" s="4">
        <v>567.61851177214805</v>
      </c>
      <c r="H12" s="1">
        <v>10</v>
      </c>
      <c r="J12" s="1">
        <v>-0.75682288683133048</v>
      </c>
      <c r="K12" s="1">
        <v>10</v>
      </c>
      <c r="L12">
        <v>19</v>
      </c>
      <c r="M12" s="1">
        <v>16</v>
      </c>
      <c r="N12" s="1">
        <v>3</v>
      </c>
      <c r="O12" s="4">
        <v>9.9439863013698595</v>
      </c>
      <c r="P12" s="4">
        <v>0.9546120058565154</v>
      </c>
      <c r="Q12" s="7">
        <v>500</v>
      </c>
      <c r="R12" s="7">
        <v>60</v>
      </c>
      <c r="S12" s="5">
        <v>2.2233333333333301</v>
      </c>
      <c r="T12" s="5">
        <v>0.32333333333333297</v>
      </c>
      <c r="U12" s="1">
        <v>100</v>
      </c>
      <c r="V12" s="1">
        <v>55.03152</v>
      </c>
      <c r="W12" s="1">
        <v>10.245559999999999</v>
      </c>
      <c r="X12" s="1">
        <v>0</v>
      </c>
      <c r="Y12" s="1">
        <v>1</v>
      </c>
      <c r="Z12" s="4">
        <f t="shared" si="0"/>
        <v>4.53879941434846E-2</v>
      </c>
    </row>
    <row r="13" spans="1:26" x14ac:dyDescent="0.2">
      <c r="A13" s="1" t="s">
        <v>33</v>
      </c>
      <c r="B13" s="1" t="s">
        <v>14</v>
      </c>
      <c r="C13" s="1" t="s">
        <v>87</v>
      </c>
      <c r="D13" s="1">
        <v>328.30703383579998</v>
      </c>
      <c r="E13" s="5">
        <v>23.76</v>
      </c>
      <c r="F13" s="4">
        <v>974.98962990882796</v>
      </c>
      <c r="G13" s="4">
        <v>1537.9346894297</v>
      </c>
      <c r="H13" s="1">
        <v>1</v>
      </c>
      <c r="I13" s="1">
        <v>0.19639999999999999</v>
      </c>
      <c r="K13" s="1">
        <v>13</v>
      </c>
      <c r="L13">
        <v>15</v>
      </c>
      <c r="M13" s="1">
        <v>19</v>
      </c>
      <c r="N13" s="1">
        <v>4</v>
      </c>
      <c r="O13" s="4">
        <v>9.9439863013698595</v>
      </c>
      <c r="P13" s="4">
        <v>0.9546120058565154</v>
      </c>
      <c r="Q13" s="7">
        <v>850</v>
      </c>
      <c r="R13" s="7">
        <v>50</v>
      </c>
      <c r="S13" s="5">
        <v>1.8463333333333301</v>
      </c>
      <c r="T13" s="5">
        <v>0.35766666666666702</v>
      </c>
      <c r="U13" s="1">
        <v>85</v>
      </c>
      <c r="V13" s="1">
        <v>55.031950000000002</v>
      </c>
      <c r="W13" s="1">
        <v>10.246919999999999</v>
      </c>
      <c r="X13" s="1">
        <v>0</v>
      </c>
      <c r="Y13" s="1">
        <v>1</v>
      </c>
      <c r="Z13" s="4">
        <f t="shared" si="0"/>
        <v>4.53879941434846E-2</v>
      </c>
    </row>
    <row r="14" spans="1:26" x14ac:dyDescent="0.2">
      <c r="A14" s="1" t="s">
        <v>22</v>
      </c>
      <c r="B14" s="1" t="s">
        <v>14</v>
      </c>
      <c r="C14" s="1" t="s">
        <v>89</v>
      </c>
      <c r="D14" s="1">
        <v>41.925172130833303</v>
      </c>
      <c r="E14" s="5">
        <v>20.635999999999999</v>
      </c>
      <c r="F14" s="4">
        <v>299.71425597780802</v>
      </c>
      <c r="G14" s="4">
        <v>246.57987240464001</v>
      </c>
      <c r="H14" s="1">
        <v>45</v>
      </c>
      <c r="J14" s="1">
        <v>5.1789094859937018E-2</v>
      </c>
      <c r="K14" s="1">
        <v>9</v>
      </c>
      <c r="L14">
        <v>17</v>
      </c>
      <c r="M14" s="1">
        <v>19</v>
      </c>
      <c r="N14" s="1">
        <v>2</v>
      </c>
      <c r="O14" s="4">
        <v>9.1954931506849302</v>
      </c>
      <c r="P14" s="4">
        <v>1.0708074534161491</v>
      </c>
      <c r="Q14" s="7">
        <v>1420</v>
      </c>
      <c r="R14" s="7">
        <v>140</v>
      </c>
      <c r="S14" s="5">
        <v>1.16933333333333</v>
      </c>
      <c r="T14" s="5">
        <v>0.112</v>
      </c>
      <c r="U14" s="1">
        <v>0</v>
      </c>
      <c r="V14" s="1">
        <v>56.27402</v>
      </c>
      <c r="W14" s="1">
        <v>8.4931699999999992</v>
      </c>
      <c r="X14" s="1">
        <v>0</v>
      </c>
      <c r="Y14" s="1">
        <v>1</v>
      </c>
      <c r="Z14" s="4">
        <f t="shared" si="0"/>
        <v>-7.0807453416149135E-2</v>
      </c>
    </row>
    <row r="15" spans="1:26" x14ac:dyDescent="0.2">
      <c r="A15" s="1" t="s">
        <v>24</v>
      </c>
      <c r="B15" s="1" t="s">
        <v>14</v>
      </c>
      <c r="C15" s="1" t="s">
        <v>89</v>
      </c>
      <c r="D15" s="1">
        <v>43.292197645000002</v>
      </c>
      <c r="E15" s="5">
        <v>7.17</v>
      </c>
      <c r="F15" s="4">
        <v>160.95239738016599</v>
      </c>
      <c r="G15" s="4">
        <v>1024.5026173886599</v>
      </c>
      <c r="H15" s="1">
        <v>35</v>
      </c>
      <c r="I15" s="1">
        <v>3.6400000000000002E-2</v>
      </c>
      <c r="J15" s="1">
        <v>-9.6985104492006396E-2</v>
      </c>
      <c r="K15" s="1">
        <v>15</v>
      </c>
      <c r="L15">
        <v>15</v>
      </c>
      <c r="M15" s="1">
        <v>26</v>
      </c>
      <c r="N15" s="1">
        <v>2</v>
      </c>
      <c r="O15" s="4">
        <v>9.1954931506849302</v>
      </c>
      <c r="P15" s="4">
        <v>1.0602706027060271</v>
      </c>
      <c r="Q15" s="7">
        <v>3660</v>
      </c>
      <c r="R15" s="7">
        <v>90</v>
      </c>
      <c r="S15" s="5">
        <v>0.23799999999999999</v>
      </c>
      <c r="T15" s="5">
        <v>0.163333333333333</v>
      </c>
      <c r="U15" s="1">
        <v>0</v>
      </c>
      <c r="V15" s="1">
        <v>56.283670000000001</v>
      </c>
      <c r="W15" s="1">
        <v>8.4651899999999998</v>
      </c>
      <c r="X15" s="1">
        <v>1</v>
      </c>
      <c r="Y15" s="1">
        <v>1</v>
      </c>
      <c r="Z15" s="4">
        <f t="shared" si="0"/>
        <v>-6.0270602706027132E-2</v>
      </c>
    </row>
    <row r="16" spans="1:26" x14ac:dyDescent="0.2">
      <c r="A16" s="1" t="s">
        <v>26</v>
      </c>
      <c r="B16" s="1" t="s">
        <v>14</v>
      </c>
      <c r="C16" s="1" t="s">
        <v>89</v>
      </c>
      <c r="D16" s="1">
        <v>229.55621989883301</v>
      </c>
      <c r="E16" s="5">
        <v>62.878</v>
      </c>
      <c r="F16" s="4">
        <v>2033.9830261397799</v>
      </c>
      <c r="G16" s="4">
        <v>484.75796235304699</v>
      </c>
      <c r="H16" s="1">
        <v>10</v>
      </c>
      <c r="J16" s="1">
        <v>-0.270080634131244</v>
      </c>
      <c r="K16" s="1">
        <v>7</v>
      </c>
      <c r="L16">
        <v>12</v>
      </c>
      <c r="M16" s="1">
        <v>21</v>
      </c>
      <c r="N16" s="1">
        <v>3</v>
      </c>
      <c r="O16" s="4">
        <v>9.1954931506849302</v>
      </c>
      <c r="P16" s="4">
        <v>1.0575275397796817</v>
      </c>
      <c r="Q16" s="7">
        <v>1690</v>
      </c>
      <c r="R16" s="7">
        <v>150</v>
      </c>
      <c r="S16" s="5">
        <v>2.6356666666666699</v>
      </c>
      <c r="T16" s="5">
        <v>0.57799999999999996</v>
      </c>
      <c r="U16" s="1">
        <v>85</v>
      </c>
      <c r="V16" s="1">
        <v>56.211350000000003</v>
      </c>
      <c r="W16" s="1">
        <v>8.4754100000000001</v>
      </c>
      <c r="X16" s="1">
        <v>1</v>
      </c>
      <c r="Y16" s="1">
        <v>1</v>
      </c>
      <c r="Z16" s="4">
        <f t="shared" si="0"/>
        <v>-5.7527539779681724E-2</v>
      </c>
    </row>
    <row r="17" spans="1:26" x14ac:dyDescent="0.2">
      <c r="A17" s="1" t="s">
        <v>27</v>
      </c>
      <c r="B17" s="1" t="s">
        <v>14</v>
      </c>
      <c r="C17" s="1" t="s">
        <v>89</v>
      </c>
      <c r="D17" s="1">
        <v>55.224279987000003</v>
      </c>
      <c r="E17" s="5">
        <v>45.601999999999997</v>
      </c>
      <c r="F17" s="4">
        <v>3267.2421461182798</v>
      </c>
      <c r="G17" s="4">
        <v>272.85399166097</v>
      </c>
      <c r="H17" s="1">
        <v>10</v>
      </c>
      <c r="J17" s="1">
        <v>-0.53380051648141347</v>
      </c>
      <c r="K17" s="1">
        <v>12</v>
      </c>
      <c r="L17">
        <v>15</v>
      </c>
      <c r="M17" s="1">
        <v>14</v>
      </c>
      <c r="N17" s="1">
        <v>3</v>
      </c>
      <c r="O17" s="4">
        <v>9.1954931506849302</v>
      </c>
      <c r="P17" s="4">
        <v>1.0614250614250613</v>
      </c>
      <c r="Q17" s="7">
        <v>2170</v>
      </c>
      <c r="R17" s="7">
        <v>60</v>
      </c>
      <c r="S17" s="5">
        <v>0.99566666666666703</v>
      </c>
      <c r="T17" s="5">
        <v>0.27700000000000002</v>
      </c>
      <c r="U17" s="1">
        <v>30</v>
      </c>
      <c r="V17" s="1">
        <v>56.219259999999998</v>
      </c>
      <c r="W17" s="1">
        <v>8.4891299999999994</v>
      </c>
      <c r="X17" s="1">
        <v>1</v>
      </c>
      <c r="Y17" s="1">
        <v>1</v>
      </c>
      <c r="Z17" s="4">
        <f t="shared" si="0"/>
        <v>-6.1425061425061322E-2</v>
      </c>
    </row>
    <row r="18" spans="1:26" x14ac:dyDescent="0.2">
      <c r="A18" s="1" t="s">
        <v>28</v>
      </c>
      <c r="B18" s="1" t="s">
        <v>14</v>
      </c>
      <c r="C18" s="1" t="s">
        <v>89</v>
      </c>
      <c r="D18" s="1">
        <v>5.7428181281428596</v>
      </c>
      <c r="E18" s="5">
        <v>8.952</v>
      </c>
      <c r="F18" s="4">
        <v>198.835276190298</v>
      </c>
      <c r="G18" s="4">
        <v>225.530467135355</v>
      </c>
      <c r="H18" s="1">
        <v>35</v>
      </c>
      <c r="J18" s="1">
        <v>0.132672154252753</v>
      </c>
      <c r="K18" s="1">
        <v>10</v>
      </c>
      <c r="L18">
        <v>18</v>
      </c>
      <c r="M18" s="1">
        <v>12</v>
      </c>
      <c r="N18" s="1">
        <v>1</v>
      </c>
      <c r="O18" s="4">
        <v>9.1954931506849302</v>
      </c>
      <c r="P18" s="4">
        <v>1.0575275397796817</v>
      </c>
      <c r="Q18" s="7">
        <v>2600</v>
      </c>
      <c r="R18" s="7">
        <v>110</v>
      </c>
      <c r="S18" s="5">
        <v>0.51200000000000001</v>
      </c>
      <c r="T18" s="5">
        <v>0.119333333333333</v>
      </c>
      <c r="U18" s="1">
        <v>75</v>
      </c>
      <c r="V18" s="1">
        <v>56.244340000000001</v>
      </c>
      <c r="W18" s="1">
        <v>8.4433699999999998</v>
      </c>
      <c r="X18" s="1">
        <v>1</v>
      </c>
      <c r="Y18" s="1">
        <v>1</v>
      </c>
      <c r="Z18" s="4">
        <f t="shared" si="0"/>
        <v>-5.7527539779681724E-2</v>
      </c>
    </row>
    <row r="19" spans="1:26" x14ac:dyDescent="0.2">
      <c r="A19" s="1" t="s">
        <v>30</v>
      </c>
      <c r="B19" s="1" t="s">
        <v>14</v>
      </c>
      <c r="C19" s="1" t="s">
        <v>89</v>
      </c>
      <c r="D19" s="1">
        <v>16.198246463866699</v>
      </c>
      <c r="E19" s="5">
        <v>19.4725</v>
      </c>
      <c r="F19" s="4">
        <v>2759.1253852329501</v>
      </c>
      <c r="G19" s="4">
        <v>951.83176746890604</v>
      </c>
      <c r="H19" s="1">
        <v>35</v>
      </c>
      <c r="J19" s="1">
        <v>-0.17455591064425999</v>
      </c>
      <c r="K19" s="1">
        <v>12</v>
      </c>
      <c r="L19">
        <v>20</v>
      </c>
      <c r="M19" s="1">
        <v>15</v>
      </c>
      <c r="N19" s="1">
        <v>4</v>
      </c>
      <c r="O19" s="4">
        <v>9.1954931506849302</v>
      </c>
      <c r="P19" s="4">
        <v>1.047677261613692</v>
      </c>
      <c r="Q19" s="7">
        <v>3770</v>
      </c>
      <c r="R19" s="7">
        <v>90</v>
      </c>
      <c r="S19" s="5">
        <v>0.79666666666666697</v>
      </c>
      <c r="T19" s="5">
        <v>0.18566666666666701</v>
      </c>
      <c r="U19" s="1">
        <v>0</v>
      </c>
      <c r="V19" s="1">
        <v>56.249450000000003</v>
      </c>
      <c r="W19" s="1">
        <v>8.4082100000000004</v>
      </c>
      <c r="X19" s="1">
        <v>0</v>
      </c>
      <c r="Y19" s="1">
        <v>1</v>
      </c>
      <c r="Z19" s="4">
        <f t="shared" si="0"/>
        <v>-4.7677261613692012E-2</v>
      </c>
    </row>
    <row r="20" spans="1:26" x14ac:dyDescent="0.2">
      <c r="A20" s="1" t="s">
        <v>15</v>
      </c>
      <c r="B20" s="1" t="s">
        <v>14</v>
      </c>
      <c r="C20" s="1" t="s">
        <v>86</v>
      </c>
      <c r="D20" s="1">
        <v>1100.2941028974999</v>
      </c>
      <c r="E20" s="5">
        <v>57.463333333333303</v>
      </c>
      <c r="F20" s="4">
        <v>292.18565891780497</v>
      </c>
      <c r="G20" s="4">
        <v>906.45320424617296</v>
      </c>
      <c r="H20" s="1">
        <v>1</v>
      </c>
      <c r="K20" s="1">
        <v>13</v>
      </c>
      <c r="L20">
        <v>17</v>
      </c>
      <c r="M20" s="1">
        <v>24</v>
      </c>
      <c r="N20" s="1">
        <v>1</v>
      </c>
      <c r="O20" s="4">
        <v>8.83832876712329</v>
      </c>
      <c r="P20" s="4">
        <v>0.99014084507042255</v>
      </c>
      <c r="Q20" s="7">
        <v>195</v>
      </c>
      <c r="R20" s="7">
        <v>70</v>
      </c>
      <c r="S20" s="5">
        <v>3.2853333333333299</v>
      </c>
      <c r="T20" s="5">
        <v>0.40866666666666701</v>
      </c>
      <c r="U20" s="1">
        <v>50</v>
      </c>
      <c r="V20" s="1">
        <v>56.181840000000001</v>
      </c>
      <c r="W20" s="1">
        <v>9.66953</v>
      </c>
      <c r="X20" s="1">
        <v>1</v>
      </c>
      <c r="Y20" s="1">
        <v>1</v>
      </c>
      <c r="Z20" s="4">
        <f t="shared" si="0"/>
        <v>9.8591549295774517E-3</v>
      </c>
    </row>
    <row r="21" spans="1:26" x14ac:dyDescent="0.2">
      <c r="A21" s="1" t="s">
        <v>16</v>
      </c>
      <c r="B21" s="1" t="s">
        <v>14</v>
      </c>
      <c r="C21" s="1" t="s">
        <v>86</v>
      </c>
      <c r="D21" s="1">
        <v>76.692046457199993</v>
      </c>
      <c r="E21" s="5">
        <v>35.876666666666701</v>
      </c>
      <c r="F21" s="4">
        <v>272.26302991694001</v>
      </c>
      <c r="G21" s="4">
        <v>1143.6114845217201</v>
      </c>
      <c r="H21" s="1">
        <v>1</v>
      </c>
      <c r="I21" s="1">
        <v>9.6600000000000005E-2</v>
      </c>
      <c r="J21" s="1">
        <v>-0.14919067190286966</v>
      </c>
      <c r="K21" s="1">
        <v>10</v>
      </c>
      <c r="L21">
        <v>13</v>
      </c>
      <c r="M21" s="1">
        <v>16</v>
      </c>
      <c r="N21" s="1">
        <v>3</v>
      </c>
      <c r="O21" s="4">
        <v>8.83832876712329</v>
      </c>
      <c r="P21" s="4">
        <v>0.99434229137199437</v>
      </c>
      <c r="Q21" s="7">
        <v>340</v>
      </c>
      <c r="R21" s="7">
        <v>70</v>
      </c>
      <c r="S21" s="5">
        <v>0.72933333333333294</v>
      </c>
      <c r="T21" s="5">
        <v>0.202333333333333</v>
      </c>
      <c r="U21" s="1">
        <v>85</v>
      </c>
      <c r="V21" s="1">
        <v>56.174520000000001</v>
      </c>
      <c r="W21" s="1">
        <v>9.6714800000000007</v>
      </c>
      <c r="X21" s="1">
        <v>1</v>
      </c>
      <c r="Y21" s="1">
        <v>1</v>
      </c>
      <c r="Z21" s="4">
        <f t="shared" si="0"/>
        <v>5.657708628005631E-3</v>
      </c>
    </row>
    <row r="22" spans="1:26" x14ac:dyDescent="0.2">
      <c r="A22" s="1" t="s">
        <v>17</v>
      </c>
      <c r="B22" s="1" t="s">
        <v>14</v>
      </c>
      <c r="C22" s="1" t="s">
        <v>86</v>
      </c>
      <c r="D22" s="1">
        <v>59.988713877125001</v>
      </c>
      <c r="E22" s="5">
        <v>19.313333333333301</v>
      </c>
      <c r="F22" s="4">
        <v>877.993099301435</v>
      </c>
      <c r="G22" s="4">
        <v>806.149358366868</v>
      </c>
      <c r="H22" s="1">
        <v>10</v>
      </c>
      <c r="I22" s="1">
        <v>0.34339999999999998</v>
      </c>
      <c r="J22" s="1">
        <v>-1.0489310651510004</v>
      </c>
      <c r="K22" s="1">
        <v>16</v>
      </c>
      <c r="L22">
        <v>18</v>
      </c>
      <c r="M22" s="1">
        <v>22</v>
      </c>
      <c r="N22" s="1">
        <v>2</v>
      </c>
      <c r="O22" s="4">
        <v>8.83832876712329</v>
      </c>
      <c r="P22" s="4">
        <v>0.99296765119549935</v>
      </c>
      <c r="Q22" s="7">
        <v>1565</v>
      </c>
      <c r="R22" s="7">
        <v>70</v>
      </c>
      <c r="S22" s="5">
        <v>1.286</v>
      </c>
      <c r="T22" s="5">
        <v>0.166333333333333</v>
      </c>
      <c r="U22" s="1">
        <v>65</v>
      </c>
      <c r="V22" s="1">
        <v>56.151710000000001</v>
      </c>
      <c r="W22" s="1">
        <v>9.7028300000000005</v>
      </c>
      <c r="X22" s="1">
        <v>1</v>
      </c>
      <c r="Y22" s="1">
        <v>1</v>
      </c>
      <c r="Z22" s="4">
        <f t="shared" si="0"/>
        <v>7.0323488045006544E-3</v>
      </c>
    </row>
    <row r="23" spans="1:26" x14ac:dyDescent="0.2">
      <c r="A23" s="1" t="s">
        <v>31</v>
      </c>
      <c r="B23" s="1" t="s">
        <v>14</v>
      </c>
      <c r="C23" s="1" t="s">
        <v>86</v>
      </c>
      <c r="D23" s="1">
        <v>222.094289153125</v>
      </c>
      <c r="E23" s="5">
        <v>66.346666666666707</v>
      </c>
      <c r="F23" s="4">
        <v>223.87834372079999</v>
      </c>
      <c r="G23" s="4">
        <v>794.37534066472494</v>
      </c>
      <c r="H23" s="1">
        <v>10</v>
      </c>
      <c r="I23" s="1">
        <v>0.17119999999999999</v>
      </c>
      <c r="J23" s="1">
        <v>-0.61863767757546206</v>
      </c>
      <c r="K23" s="1">
        <v>22</v>
      </c>
      <c r="L23">
        <v>12</v>
      </c>
      <c r="M23" s="1">
        <v>25</v>
      </c>
      <c r="N23" s="1">
        <v>2</v>
      </c>
      <c r="O23" s="4">
        <v>8.83832876712329</v>
      </c>
      <c r="P23" s="4">
        <v>0.9817415730337079</v>
      </c>
      <c r="Q23" s="7">
        <v>2700</v>
      </c>
      <c r="R23" s="7">
        <v>190</v>
      </c>
      <c r="S23" s="5">
        <v>1.8013333333333299</v>
      </c>
      <c r="T23" s="5">
        <v>0.57033333333333303</v>
      </c>
      <c r="U23" s="1">
        <v>85</v>
      </c>
      <c r="V23" s="1">
        <v>56.142319999999998</v>
      </c>
      <c r="W23" s="1">
        <v>9.7152399999999997</v>
      </c>
      <c r="X23" s="1">
        <v>1</v>
      </c>
      <c r="Y23" s="1">
        <v>1</v>
      </c>
      <c r="Z23" s="4">
        <f t="shared" si="0"/>
        <v>1.8258426966292096E-2</v>
      </c>
    </row>
    <row r="24" spans="1:26" x14ac:dyDescent="0.2">
      <c r="A24" s="1" t="s">
        <v>34</v>
      </c>
      <c r="B24" s="1" t="s">
        <v>14</v>
      </c>
      <c r="C24" s="1" t="s">
        <v>86</v>
      </c>
      <c r="D24" s="1">
        <v>115.785783058833</v>
      </c>
      <c r="E24" s="5">
        <v>17.066666666666698</v>
      </c>
      <c r="F24" s="4">
        <v>1452.6489995367499</v>
      </c>
      <c r="G24" s="4">
        <v>1219.8041719145201</v>
      </c>
      <c r="H24" s="1">
        <v>35</v>
      </c>
      <c r="I24" s="1">
        <v>0.3508</v>
      </c>
      <c r="J24" s="1">
        <v>-0.6842708360463855</v>
      </c>
      <c r="K24" s="1">
        <v>14</v>
      </c>
      <c r="L24">
        <v>14</v>
      </c>
      <c r="M24" s="1">
        <v>25</v>
      </c>
      <c r="N24" s="1">
        <v>3</v>
      </c>
      <c r="O24" s="4">
        <v>8.83832876712329</v>
      </c>
      <c r="P24" s="4">
        <v>0.97625698324022347</v>
      </c>
      <c r="Q24" s="7">
        <v>1380</v>
      </c>
      <c r="R24" s="7">
        <v>140</v>
      </c>
      <c r="S24" s="5">
        <v>0.84833333333333305</v>
      </c>
      <c r="T24" s="5">
        <v>0.19966666666666699</v>
      </c>
      <c r="U24" s="1">
        <v>95</v>
      </c>
      <c r="V24" s="1">
        <v>56.138719999999999</v>
      </c>
      <c r="W24" s="1">
        <v>9.7167100000000008</v>
      </c>
      <c r="X24" s="1">
        <v>1</v>
      </c>
      <c r="Y24" s="1">
        <v>1</v>
      </c>
      <c r="Z24" s="4">
        <f t="shared" si="0"/>
        <v>2.3743016759776525E-2</v>
      </c>
    </row>
    <row r="25" spans="1:26" x14ac:dyDescent="0.2">
      <c r="A25" s="1" t="s">
        <v>35</v>
      </c>
      <c r="B25" s="1" t="s">
        <v>14</v>
      </c>
      <c r="C25" s="1" t="s">
        <v>86</v>
      </c>
      <c r="D25" s="1">
        <v>72.063111354599997</v>
      </c>
      <c r="E25" s="5">
        <v>15.37</v>
      </c>
      <c r="F25" s="4">
        <v>1469.7728700923101</v>
      </c>
      <c r="G25" s="4">
        <v>1199.36131530494</v>
      </c>
      <c r="H25" s="1">
        <v>10</v>
      </c>
      <c r="I25" s="1">
        <v>5.0500000000000003E-2</v>
      </c>
      <c r="J25" s="1">
        <v>-0.11798255892232715</v>
      </c>
      <c r="K25" s="1">
        <v>19</v>
      </c>
      <c r="L25">
        <v>18</v>
      </c>
      <c r="M25" s="1">
        <v>19</v>
      </c>
      <c r="N25" s="1">
        <v>1</v>
      </c>
      <c r="O25" s="4">
        <v>8.83832876712329</v>
      </c>
      <c r="P25" s="4">
        <v>0.98603351955307261</v>
      </c>
      <c r="Q25" s="7">
        <v>1240</v>
      </c>
      <c r="R25" s="7">
        <v>190</v>
      </c>
      <c r="S25" s="5">
        <v>1.2270000000000001</v>
      </c>
      <c r="T25" s="5">
        <v>0.27733333333333299</v>
      </c>
      <c r="U25" s="1">
        <v>75</v>
      </c>
      <c r="V25" s="1">
        <v>56.129809999999999</v>
      </c>
      <c r="W25" s="1">
        <v>9.7020199999999992</v>
      </c>
      <c r="X25" s="1">
        <v>0</v>
      </c>
      <c r="Y25" s="1">
        <v>1</v>
      </c>
      <c r="Z25" s="4">
        <f t="shared" si="0"/>
        <v>1.3966480446927387E-2</v>
      </c>
    </row>
    <row r="26" spans="1:26" x14ac:dyDescent="0.2">
      <c r="A26" s="1" t="s">
        <v>36</v>
      </c>
      <c r="B26" s="1" t="s">
        <v>14</v>
      </c>
      <c r="C26" s="1" t="s">
        <v>90</v>
      </c>
      <c r="D26" s="1">
        <v>28.679786918886698</v>
      </c>
      <c r="E26" s="5">
        <v>33.963999999999999</v>
      </c>
      <c r="F26" s="4">
        <v>178.072928704367</v>
      </c>
      <c r="G26" s="4">
        <v>101.940780519801</v>
      </c>
      <c r="H26" s="1">
        <v>35</v>
      </c>
      <c r="I26" s="1">
        <v>5.6000000000000001E-2</v>
      </c>
      <c r="J26" s="1">
        <v>-0.25664441157906348</v>
      </c>
      <c r="K26" s="1">
        <v>16</v>
      </c>
      <c r="L26">
        <v>13</v>
      </c>
      <c r="M26" s="1">
        <v>13</v>
      </c>
      <c r="N26" s="1">
        <v>4</v>
      </c>
      <c r="O26" s="4">
        <v>8.8632876712328805</v>
      </c>
      <c r="P26" s="4">
        <v>1.0114285714285713</v>
      </c>
      <c r="Q26" s="7">
        <v>480</v>
      </c>
      <c r="R26" s="7">
        <v>100</v>
      </c>
      <c r="S26" s="5">
        <v>0.87166666666666703</v>
      </c>
      <c r="T26" s="5">
        <v>0.14733333333333301</v>
      </c>
      <c r="U26" s="1">
        <v>40</v>
      </c>
      <c r="V26" s="1">
        <v>56.042859999999997</v>
      </c>
      <c r="W26" s="1">
        <v>9.6509499999999999</v>
      </c>
      <c r="X26" s="1">
        <v>1</v>
      </c>
      <c r="Y26" s="1">
        <v>1</v>
      </c>
      <c r="Z26" s="4">
        <f t="shared" si="0"/>
        <v>-1.1428571428571344E-2</v>
      </c>
    </row>
    <row r="27" spans="1:26" x14ac:dyDescent="0.2">
      <c r="A27" s="1" t="s">
        <v>38</v>
      </c>
      <c r="B27" s="1" t="s">
        <v>14</v>
      </c>
      <c r="C27" s="1" t="s">
        <v>90</v>
      </c>
      <c r="D27" s="1">
        <v>40.388631646030802</v>
      </c>
      <c r="E27" s="5">
        <v>24.062000000000001</v>
      </c>
      <c r="F27" s="4">
        <v>49.315660885719304</v>
      </c>
      <c r="G27" s="4">
        <v>480.44409336154501</v>
      </c>
      <c r="H27" s="1">
        <v>10</v>
      </c>
      <c r="I27" s="1">
        <v>0.13600000000000001</v>
      </c>
      <c r="J27" s="1">
        <v>-8.8131790624726494E-3</v>
      </c>
      <c r="K27" s="1">
        <v>14</v>
      </c>
      <c r="L27">
        <v>15</v>
      </c>
      <c r="M27" s="1">
        <v>13</v>
      </c>
      <c r="N27" s="1">
        <v>3</v>
      </c>
      <c r="O27" s="4">
        <v>8.8632876712328805</v>
      </c>
      <c r="P27" s="4">
        <v>1.0143266475644699</v>
      </c>
      <c r="Q27" s="7">
        <v>750</v>
      </c>
      <c r="R27" s="7">
        <v>120</v>
      </c>
      <c r="S27" s="5">
        <v>0.85099999999999998</v>
      </c>
      <c r="T27" s="5">
        <v>0.21233333333333301</v>
      </c>
      <c r="U27" s="1">
        <v>0</v>
      </c>
      <c r="V27" s="1">
        <v>56.047409999999999</v>
      </c>
      <c r="W27" s="1">
        <v>9.6464800000000004</v>
      </c>
      <c r="X27" s="1">
        <v>1</v>
      </c>
      <c r="Y27" s="1">
        <v>1</v>
      </c>
      <c r="Z27" s="4">
        <f t="shared" si="0"/>
        <v>-1.4326647564469885E-2</v>
      </c>
    </row>
    <row r="28" spans="1:26" x14ac:dyDescent="0.2">
      <c r="A28" s="1" t="s">
        <v>39</v>
      </c>
      <c r="B28" s="1" t="s">
        <v>14</v>
      </c>
      <c r="C28" s="1" t="s">
        <v>90</v>
      </c>
      <c r="D28" s="1">
        <v>54.4744822353967</v>
      </c>
      <c r="E28" s="5">
        <v>18.0825</v>
      </c>
      <c r="F28" s="4">
        <v>182.94324859415801</v>
      </c>
      <c r="G28" s="4">
        <v>1389.0319786029099</v>
      </c>
      <c r="H28" s="1">
        <v>35</v>
      </c>
      <c r="I28" s="1">
        <v>0.16700000000000001</v>
      </c>
      <c r="J28" s="1">
        <v>-0.61382607381167797</v>
      </c>
      <c r="K28" s="1">
        <v>19</v>
      </c>
      <c r="L28">
        <v>15</v>
      </c>
      <c r="M28" s="1">
        <v>15</v>
      </c>
      <c r="N28" s="1">
        <v>6</v>
      </c>
      <c r="O28" s="4">
        <v>8.8632876712328805</v>
      </c>
      <c r="P28" s="4">
        <v>1.0143266475644699</v>
      </c>
      <c r="Q28" s="7">
        <v>520</v>
      </c>
      <c r="R28" s="7">
        <v>110</v>
      </c>
      <c r="S28" s="5">
        <v>1.0629999999999999</v>
      </c>
      <c r="T28" s="5">
        <v>0.23066666666666699</v>
      </c>
      <c r="U28" s="1">
        <v>30</v>
      </c>
      <c r="V28" s="1">
        <v>56.049190000000003</v>
      </c>
      <c r="W28" s="1">
        <v>9.6487599999999993</v>
      </c>
      <c r="X28" s="1">
        <v>1</v>
      </c>
      <c r="Y28" s="1">
        <v>1</v>
      </c>
      <c r="Z28" s="4">
        <f t="shared" si="0"/>
        <v>-1.4326647564469885E-2</v>
      </c>
    </row>
    <row r="29" spans="1:26" x14ac:dyDescent="0.2">
      <c r="A29" s="1" t="s">
        <v>40</v>
      </c>
      <c r="B29" s="1" t="s">
        <v>14</v>
      </c>
      <c r="C29" s="1" t="s">
        <v>90</v>
      </c>
      <c r="D29" s="1">
        <v>32.8777292660386</v>
      </c>
      <c r="E29" s="5">
        <v>38.481999999999999</v>
      </c>
      <c r="F29" s="4">
        <v>22.247634595806499</v>
      </c>
      <c r="G29" s="4">
        <v>1341.0251996831801</v>
      </c>
      <c r="H29" s="1">
        <v>10</v>
      </c>
      <c r="J29" s="1">
        <v>7.6261154754119903E-3</v>
      </c>
      <c r="K29" s="1">
        <v>11</v>
      </c>
      <c r="L29">
        <v>10</v>
      </c>
      <c r="M29" s="1">
        <v>18</v>
      </c>
      <c r="N29" s="1">
        <v>3</v>
      </c>
      <c r="O29" s="4">
        <v>8.8632876712328805</v>
      </c>
      <c r="P29" s="4">
        <v>1.0114285714285713</v>
      </c>
      <c r="Q29" s="7">
        <v>3200</v>
      </c>
      <c r="R29" s="7">
        <v>170</v>
      </c>
      <c r="S29" s="5">
        <v>0.86133333333333295</v>
      </c>
      <c r="T29" s="5">
        <v>0.14099999999999999</v>
      </c>
      <c r="U29" s="1">
        <v>65</v>
      </c>
      <c r="V29" s="1">
        <v>56.043520000000001</v>
      </c>
      <c r="W29" s="1">
        <v>9.6564499999999995</v>
      </c>
      <c r="X29" s="1">
        <v>0</v>
      </c>
      <c r="Y29" s="1">
        <v>1</v>
      </c>
      <c r="Z29" s="4">
        <f t="shared" si="0"/>
        <v>-1.1428571428571344E-2</v>
      </c>
    </row>
    <row r="30" spans="1:26" x14ac:dyDescent="0.2">
      <c r="A30" s="1" t="s">
        <v>41</v>
      </c>
      <c r="B30" s="1" t="s">
        <v>14</v>
      </c>
      <c r="C30" s="1" t="s">
        <v>90</v>
      </c>
      <c r="D30" s="1">
        <v>120.077457328333</v>
      </c>
      <c r="E30" s="5">
        <v>26.263999999999999</v>
      </c>
      <c r="F30" s="4">
        <v>396.57137625220798</v>
      </c>
      <c r="G30" s="4">
        <v>1435.7958363385601</v>
      </c>
      <c r="H30" s="1">
        <v>35</v>
      </c>
      <c r="I30" s="1">
        <v>1.1714</v>
      </c>
      <c r="J30" s="1">
        <v>-0.23509852513686785</v>
      </c>
      <c r="K30" s="1">
        <v>10</v>
      </c>
      <c r="L30">
        <v>11</v>
      </c>
      <c r="M30" s="1">
        <v>18</v>
      </c>
      <c r="N30" s="1">
        <v>2</v>
      </c>
      <c r="O30" s="4">
        <v>8.7382465753424707</v>
      </c>
      <c r="P30" s="4">
        <v>1.0521861777150916</v>
      </c>
      <c r="Q30" s="7">
        <v>240</v>
      </c>
      <c r="R30" s="7">
        <v>140</v>
      </c>
      <c r="S30" s="5">
        <v>0.71333333333333304</v>
      </c>
      <c r="T30" s="5">
        <v>0.23300000000000001</v>
      </c>
      <c r="U30" s="1">
        <v>95</v>
      </c>
      <c r="V30" s="1">
        <v>56.022860000000001</v>
      </c>
      <c r="W30" s="1">
        <v>9.6146899999999995</v>
      </c>
      <c r="X30" s="1">
        <v>1</v>
      </c>
      <c r="Y30" s="1">
        <v>1</v>
      </c>
      <c r="Z30" s="4">
        <f t="shared" si="0"/>
        <v>-5.2186177715091597E-2</v>
      </c>
    </row>
    <row r="31" spans="1:26" x14ac:dyDescent="0.2">
      <c r="A31" s="1" t="s">
        <v>42</v>
      </c>
      <c r="B31" s="1" t="s">
        <v>14</v>
      </c>
      <c r="C31" s="1" t="s">
        <v>90</v>
      </c>
      <c r="D31" s="1">
        <v>18.616648184731801</v>
      </c>
      <c r="E31" s="5">
        <v>66.581999999999994</v>
      </c>
      <c r="F31" s="4">
        <v>2.82287047044011</v>
      </c>
      <c r="G31" s="4">
        <v>452.16656546381199</v>
      </c>
      <c r="H31" s="1">
        <v>50</v>
      </c>
      <c r="I31" s="1">
        <v>0.86160000000000003</v>
      </c>
      <c r="J31" s="1">
        <v>0.13530869728157802</v>
      </c>
      <c r="K31" s="1">
        <v>10</v>
      </c>
      <c r="L31">
        <v>8</v>
      </c>
      <c r="M31" s="1">
        <v>16</v>
      </c>
      <c r="N31" s="6">
        <v>2</v>
      </c>
      <c r="O31" s="4">
        <v>8.7382465753424707</v>
      </c>
      <c r="P31" s="4">
        <v>1.047752808988764</v>
      </c>
      <c r="Q31" s="7">
        <v>490</v>
      </c>
      <c r="R31" s="7">
        <v>130</v>
      </c>
      <c r="S31" s="5">
        <v>0.85533333333333295</v>
      </c>
      <c r="T31" s="5">
        <v>0.24633333333333299</v>
      </c>
      <c r="U31" s="1">
        <v>60</v>
      </c>
      <c r="V31" s="1">
        <v>56.021030000000003</v>
      </c>
      <c r="W31" s="1">
        <v>9.6035900000000005</v>
      </c>
      <c r="X31" s="1">
        <v>1</v>
      </c>
      <c r="Y31" s="1">
        <v>1</v>
      </c>
      <c r="Z31" s="4">
        <f t="shared" si="0"/>
        <v>-4.7752808988763995E-2</v>
      </c>
    </row>
    <row r="32" spans="1:26" x14ac:dyDescent="0.2">
      <c r="A32" s="1" t="s">
        <v>45</v>
      </c>
      <c r="B32" s="1" t="s">
        <v>46</v>
      </c>
      <c r="C32" s="1" t="s">
        <v>91</v>
      </c>
      <c r="D32" s="1">
        <v>71.323607949285702</v>
      </c>
      <c r="E32" s="5">
        <v>26.38</v>
      </c>
      <c r="F32" s="4">
        <v>542.93403261752098</v>
      </c>
      <c r="G32" s="4">
        <v>183.489181</v>
      </c>
      <c r="H32" s="1">
        <v>80</v>
      </c>
      <c r="K32" s="1">
        <v>28</v>
      </c>
      <c r="L32">
        <v>20</v>
      </c>
      <c r="M32" s="1">
        <v>17</v>
      </c>
      <c r="N32" s="1">
        <v>4</v>
      </c>
      <c r="O32" s="4">
        <v>16.453917808219199</v>
      </c>
      <c r="P32" s="4">
        <v>0.44121915820029028</v>
      </c>
      <c r="Q32" s="7">
        <v>24675.91</v>
      </c>
      <c r="R32" s="7">
        <v>20.8</v>
      </c>
      <c r="S32" s="5">
        <v>7.97</v>
      </c>
      <c r="T32" s="5">
        <v>0.83799999999999997</v>
      </c>
      <c r="U32" s="1">
        <v>0</v>
      </c>
      <c r="V32" s="1">
        <v>42.397714000000001</v>
      </c>
      <c r="W32" s="1">
        <v>2.9071380000000002</v>
      </c>
      <c r="X32" s="1">
        <v>0</v>
      </c>
      <c r="Y32" s="1">
        <v>0</v>
      </c>
      <c r="Z32" s="4">
        <f t="shared" si="0"/>
        <v>0.55878084179970977</v>
      </c>
    </row>
    <row r="33" spans="1:26" x14ac:dyDescent="0.2">
      <c r="A33" s="1" t="s">
        <v>47</v>
      </c>
      <c r="B33" s="1" t="s">
        <v>46</v>
      </c>
      <c r="C33" s="1" t="s">
        <v>91</v>
      </c>
      <c r="D33" s="1">
        <v>73.466683816666702</v>
      </c>
      <c r="E33" s="5">
        <v>14.925000000000001</v>
      </c>
      <c r="F33" s="4">
        <v>3177.5704976751899</v>
      </c>
      <c r="G33" s="4">
        <v>453.35171200000002</v>
      </c>
      <c r="H33" s="1">
        <v>80</v>
      </c>
      <c r="J33" s="1">
        <v>-0.465995504490893</v>
      </c>
      <c r="K33" s="1">
        <v>21</v>
      </c>
      <c r="L33">
        <v>21</v>
      </c>
      <c r="M33" s="1">
        <v>19</v>
      </c>
      <c r="N33" s="1">
        <v>4</v>
      </c>
      <c r="O33" s="4">
        <v>16.453917808219199</v>
      </c>
      <c r="P33" s="4">
        <v>0.43490909090909091</v>
      </c>
      <c r="Q33" s="7">
        <v>2555.36</v>
      </c>
      <c r="R33" s="7">
        <v>36.4</v>
      </c>
      <c r="S33" s="5">
        <v>2.68</v>
      </c>
      <c r="T33" s="5">
        <v>7.4999999999999997E-2</v>
      </c>
      <c r="U33" s="1">
        <v>0</v>
      </c>
      <c r="V33" s="1">
        <v>42.396951999999999</v>
      </c>
      <c r="W33" s="1">
        <v>2.979768</v>
      </c>
      <c r="X33" s="1">
        <v>0</v>
      </c>
      <c r="Y33" s="1">
        <v>0</v>
      </c>
      <c r="Z33" s="4">
        <f t="shared" si="0"/>
        <v>0.56509090909090909</v>
      </c>
    </row>
    <row r="34" spans="1:26" x14ac:dyDescent="0.2">
      <c r="A34" s="1" t="s">
        <v>48</v>
      </c>
      <c r="B34" s="1" t="s">
        <v>46</v>
      </c>
      <c r="C34" s="1" t="s">
        <v>91</v>
      </c>
      <c r="D34" s="1">
        <v>11.168585058928601</v>
      </c>
      <c r="E34" s="5">
        <v>17.766999999999999</v>
      </c>
      <c r="F34" s="4">
        <v>171.86534834168799</v>
      </c>
      <c r="G34" s="4">
        <v>748.09816999999998</v>
      </c>
      <c r="H34" s="1">
        <v>80</v>
      </c>
      <c r="K34" s="1">
        <v>20</v>
      </c>
      <c r="L34">
        <v>16</v>
      </c>
      <c r="M34" s="1">
        <v>16</v>
      </c>
      <c r="N34" s="1">
        <v>6</v>
      </c>
      <c r="O34" s="4">
        <v>16.419794520547899</v>
      </c>
      <c r="P34" s="4">
        <v>0.42166064981949458</v>
      </c>
      <c r="Q34" s="7">
        <v>11646.89</v>
      </c>
      <c r="R34" s="7">
        <v>24.2</v>
      </c>
      <c r="S34" s="5">
        <v>2.3660000000000001</v>
      </c>
      <c r="T34" s="5">
        <v>7.5999999999999998E-2</v>
      </c>
      <c r="U34" s="1">
        <v>0</v>
      </c>
      <c r="V34" s="1">
        <v>42.373035999999999</v>
      </c>
      <c r="W34" s="1">
        <v>2.950593</v>
      </c>
      <c r="X34" s="1">
        <v>0</v>
      </c>
      <c r="Y34" s="1">
        <v>0</v>
      </c>
      <c r="Z34" s="4">
        <f t="shared" si="0"/>
        <v>0.57833935018050542</v>
      </c>
    </row>
    <row r="35" spans="1:26" x14ac:dyDescent="0.2">
      <c r="A35" s="1" t="s">
        <v>49</v>
      </c>
      <c r="B35" s="1" t="s">
        <v>46</v>
      </c>
      <c r="C35" s="1" t="s">
        <v>91</v>
      </c>
      <c r="D35" s="1">
        <v>107.609572525</v>
      </c>
      <c r="E35" s="5">
        <v>21.8</v>
      </c>
      <c r="F35" s="4">
        <v>2799.11680027579</v>
      </c>
      <c r="G35" s="4">
        <v>660.54337399999997</v>
      </c>
      <c r="H35" s="1">
        <v>80</v>
      </c>
      <c r="I35" s="1">
        <v>7.2314499999999997</v>
      </c>
      <c r="J35" s="1">
        <v>-1.0081624814410599</v>
      </c>
      <c r="K35" s="1">
        <v>23</v>
      </c>
      <c r="L35">
        <v>23</v>
      </c>
      <c r="M35" s="1">
        <v>20</v>
      </c>
      <c r="N35" s="1">
        <v>4</v>
      </c>
      <c r="O35" s="4">
        <v>16.453917808219199</v>
      </c>
      <c r="P35" s="4">
        <v>0.43239334779464933</v>
      </c>
      <c r="Q35" s="7">
        <v>13465.72</v>
      </c>
      <c r="R35" s="7">
        <v>55.3</v>
      </c>
      <c r="S35" s="5">
        <v>2.2349999999999999</v>
      </c>
      <c r="T35" s="5">
        <v>0.122</v>
      </c>
      <c r="U35" s="1">
        <v>0</v>
      </c>
      <c r="V35" s="1">
        <v>42.379075</v>
      </c>
      <c r="W35" s="1">
        <v>2.9588709999999998</v>
      </c>
      <c r="X35" s="1">
        <v>0</v>
      </c>
      <c r="Y35" s="1">
        <v>0</v>
      </c>
      <c r="Z35" s="4">
        <f t="shared" si="0"/>
        <v>0.56760665220535067</v>
      </c>
    </row>
    <row r="36" spans="1:26" x14ac:dyDescent="0.2">
      <c r="A36" s="1" t="s">
        <v>50</v>
      </c>
      <c r="B36" s="1" t="s">
        <v>46</v>
      </c>
      <c r="C36" s="1" t="s">
        <v>91</v>
      </c>
      <c r="D36" s="1">
        <v>425.94797886333299</v>
      </c>
      <c r="E36" s="5">
        <v>18.260000000000002</v>
      </c>
      <c r="F36" s="4">
        <v>254.80964490858099</v>
      </c>
      <c r="G36" s="4">
        <v>1369.3227999999999</v>
      </c>
      <c r="H36" s="1">
        <v>80</v>
      </c>
      <c r="I36" s="1">
        <v>6.7987500000000001</v>
      </c>
      <c r="K36" s="1">
        <v>20</v>
      </c>
      <c r="L36">
        <v>16</v>
      </c>
      <c r="M36" s="1">
        <v>14</v>
      </c>
      <c r="N36" s="6">
        <v>1</v>
      </c>
      <c r="O36" s="4">
        <v>16.453917808219199</v>
      </c>
      <c r="P36" s="4">
        <v>0.42990654205607476</v>
      </c>
      <c r="Q36" s="7">
        <v>11455.29</v>
      </c>
      <c r="R36" s="7">
        <v>44.1</v>
      </c>
      <c r="S36" s="5">
        <v>4.1970000000000001</v>
      </c>
      <c r="T36" s="5">
        <v>0.77100000000000002</v>
      </c>
      <c r="U36" s="1">
        <v>0</v>
      </c>
      <c r="V36" s="1">
        <v>42.381861000000001</v>
      </c>
      <c r="W36" s="1">
        <v>2.9831940000000001</v>
      </c>
      <c r="X36" s="1">
        <v>0</v>
      </c>
      <c r="Y36" s="1">
        <v>0</v>
      </c>
      <c r="Z36" s="4">
        <f t="shared" si="0"/>
        <v>0.57009345794392519</v>
      </c>
    </row>
    <row r="37" spans="1:26" x14ac:dyDescent="0.2">
      <c r="A37" s="1" t="s">
        <v>51</v>
      </c>
      <c r="B37" s="1" t="s">
        <v>46</v>
      </c>
      <c r="C37" s="1" t="s">
        <v>91</v>
      </c>
      <c r="D37" s="1">
        <v>222.76017549214299</v>
      </c>
      <c r="E37" s="5">
        <v>24.08</v>
      </c>
      <c r="F37" s="4">
        <v>897.63816736504702</v>
      </c>
      <c r="G37" s="4">
        <v>372.61220800000001</v>
      </c>
      <c r="H37" s="1">
        <v>80</v>
      </c>
      <c r="K37" s="1">
        <v>19</v>
      </c>
      <c r="L37">
        <v>20</v>
      </c>
      <c r="M37" s="1">
        <v>16</v>
      </c>
      <c r="N37" s="1">
        <v>4</v>
      </c>
      <c r="O37" s="4">
        <v>16.453917808219199</v>
      </c>
      <c r="P37" s="4">
        <v>0.43690736688548504</v>
      </c>
      <c r="Q37" s="7">
        <v>11128.87</v>
      </c>
      <c r="R37" s="7">
        <v>25</v>
      </c>
      <c r="S37" s="5">
        <v>2.734</v>
      </c>
      <c r="T37" s="5">
        <v>7.9000000000000001E-2</v>
      </c>
      <c r="U37" s="1">
        <v>0</v>
      </c>
      <c r="V37" s="1">
        <v>42.398274999999998</v>
      </c>
      <c r="W37" s="1">
        <v>2.9287619999999999</v>
      </c>
      <c r="X37" s="1">
        <v>0</v>
      </c>
      <c r="Y37" s="1">
        <v>0</v>
      </c>
      <c r="Z37" s="4">
        <f t="shared" si="0"/>
        <v>0.56309263311451496</v>
      </c>
    </row>
    <row r="38" spans="1:26" x14ac:dyDescent="0.2">
      <c r="A38" s="1" t="s">
        <v>64</v>
      </c>
      <c r="B38" s="1" t="s">
        <v>46</v>
      </c>
      <c r="C38" s="1" t="s">
        <v>94</v>
      </c>
      <c r="D38" s="1">
        <v>1000.5225987145</v>
      </c>
      <c r="E38" s="5">
        <v>51.697333333333297</v>
      </c>
      <c r="F38" s="4">
        <v>404.34903597797802</v>
      </c>
      <c r="G38" s="4">
        <v>556.42605800000001</v>
      </c>
      <c r="H38" s="1">
        <v>1</v>
      </c>
      <c r="I38" s="1">
        <v>1.2712333330000001</v>
      </c>
      <c r="J38" s="1">
        <v>-2.7771050511870699</v>
      </c>
      <c r="K38" s="1">
        <v>6</v>
      </c>
      <c r="L38">
        <v>15</v>
      </c>
      <c r="M38" s="1">
        <v>9</v>
      </c>
      <c r="N38" s="1">
        <v>7</v>
      </c>
      <c r="O38" s="4">
        <v>12.408410958904099</v>
      </c>
      <c r="P38" s="4">
        <v>0.58980213089802136</v>
      </c>
      <c r="Q38" s="7">
        <v>114.39</v>
      </c>
      <c r="R38" s="7">
        <v>25.1</v>
      </c>
      <c r="S38" s="5">
        <v>1.4570000000000001</v>
      </c>
      <c r="T38" s="5">
        <v>0.113666666666667</v>
      </c>
      <c r="U38" s="1">
        <v>0</v>
      </c>
      <c r="V38" s="1">
        <v>42.258741299999997</v>
      </c>
      <c r="W38" s="1">
        <v>2.51817</v>
      </c>
      <c r="X38" s="1">
        <v>0</v>
      </c>
      <c r="Y38" s="1">
        <v>0</v>
      </c>
      <c r="Z38" s="4">
        <f t="shared" si="0"/>
        <v>0.41019786910197864</v>
      </c>
    </row>
    <row r="39" spans="1:26" x14ac:dyDescent="0.2">
      <c r="A39" s="1" t="s">
        <v>65</v>
      </c>
      <c r="B39" s="1" t="s">
        <v>46</v>
      </c>
      <c r="C39" s="1" t="s">
        <v>94</v>
      </c>
      <c r="D39" s="1">
        <v>1414.7622807499999</v>
      </c>
      <c r="E39" s="5">
        <v>4.7876666666666701</v>
      </c>
      <c r="F39" s="4">
        <v>3590.5189612890599</v>
      </c>
      <c r="G39" s="4">
        <v>5134.6219330000004</v>
      </c>
      <c r="H39" s="1">
        <v>60</v>
      </c>
      <c r="I39" s="1">
        <v>1.0473666669999999</v>
      </c>
      <c r="J39" s="1">
        <v>-1.6430091322672151</v>
      </c>
      <c r="K39" s="1">
        <v>14</v>
      </c>
      <c r="L39">
        <v>12</v>
      </c>
      <c r="M39" s="1">
        <v>15</v>
      </c>
      <c r="N39" s="1">
        <v>7</v>
      </c>
      <c r="O39" s="4">
        <v>12.408410958904099</v>
      </c>
      <c r="P39" s="4">
        <v>0.60311284046692604</v>
      </c>
      <c r="Q39" s="7">
        <v>116.61</v>
      </c>
      <c r="R39" s="7">
        <v>30.7</v>
      </c>
      <c r="S39" s="5">
        <v>5.2069999999999999</v>
      </c>
      <c r="T39" s="5">
        <v>5.7333333333333299E-2</v>
      </c>
      <c r="U39" s="1">
        <v>35</v>
      </c>
      <c r="V39" s="1">
        <v>42.289885400000003</v>
      </c>
      <c r="W39" s="1">
        <v>2.5140633000000001</v>
      </c>
      <c r="X39" s="1">
        <v>0</v>
      </c>
      <c r="Y39" s="1">
        <v>0</v>
      </c>
      <c r="Z39" s="4">
        <f t="shared" si="0"/>
        <v>0.39688715953307396</v>
      </c>
    </row>
    <row r="40" spans="1:26" x14ac:dyDescent="0.2">
      <c r="A40" s="1" t="s">
        <v>66</v>
      </c>
      <c r="B40" s="1" t="s">
        <v>46</v>
      </c>
      <c r="C40" s="1" t="s">
        <v>94</v>
      </c>
      <c r="D40" s="1">
        <v>517.35503673699998</v>
      </c>
      <c r="E40" s="5">
        <v>39.055333333333301</v>
      </c>
      <c r="F40" s="4">
        <v>4561.3220539362501</v>
      </c>
      <c r="G40" s="4">
        <v>3881.8107409999998</v>
      </c>
      <c r="H40" s="1">
        <v>20</v>
      </c>
      <c r="J40" s="1">
        <v>-1.6237236560813</v>
      </c>
      <c r="K40" s="1">
        <v>10</v>
      </c>
      <c r="L40">
        <v>9</v>
      </c>
      <c r="M40" s="1">
        <v>14</v>
      </c>
      <c r="N40" s="1">
        <v>3</v>
      </c>
      <c r="O40" s="4">
        <v>12.408410958904099</v>
      </c>
      <c r="P40" s="4">
        <v>0.60546875</v>
      </c>
      <c r="Q40" s="7">
        <v>86.05</v>
      </c>
      <c r="R40" s="7">
        <v>34.9</v>
      </c>
      <c r="S40" s="5">
        <v>2.4</v>
      </c>
      <c r="T40" s="5">
        <v>7.0333333333333303E-2</v>
      </c>
      <c r="U40" s="1">
        <v>0</v>
      </c>
      <c r="V40" s="1">
        <v>42.284456599999999</v>
      </c>
      <c r="W40" s="1">
        <v>2.5013695999999999</v>
      </c>
      <c r="X40" s="1">
        <v>0</v>
      </c>
      <c r="Y40" s="1">
        <v>0</v>
      </c>
      <c r="Z40" s="4">
        <f t="shared" si="0"/>
        <v>0.39453125</v>
      </c>
    </row>
    <row r="41" spans="1:26" x14ac:dyDescent="0.2">
      <c r="A41" s="1" t="s">
        <v>67</v>
      </c>
      <c r="B41" s="1" t="s">
        <v>46</v>
      </c>
      <c r="C41" s="1" t="s">
        <v>94</v>
      </c>
      <c r="D41" s="1">
        <v>330.58856895700001</v>
      </c>
      <c r="E41" s="5">
        <v>12.9</v>
      </c>
      <c r="F41" s="4">
        <v>7986.19956143131</v>
      </c>
      <c r="G41" s="4">
        <v>2221.7515579999999</v>
      </c>
      <c r="H41" s="1">
        <v>40</v>
      </c>
      <c r="I41" s="1">
        <v>7.7324666684999999</v>
      </c>
      <c r="J41" s="1">
        <v>-2.285433124131</v>
      </c>
      <c r="K41" s="1">
        <v>7</v>
      </c>
      <c r="L41">
        <v>9</v>
      </c>
      <c r="M41" s="1">
        <v>15</v>
      </c>
      <c r="N41" s="1">
        <v>1</v>
      </c>
      <c r="O41" s="4">
        <v>12.408410958904099</v>
      </c>
      <c r="P41" s="4">
        <v>0.6262705238467553</v>
      </c>
      <c r="Q41" s="7">
        <v>84.39</v>
      </c>
      <c r="R41" s="7">
        <v>27</v>
      </c>
      <c r="S41" s="5">
        <v>2.4209999999999998</v>
      </c>
      <c r="T41" s="5">
        <v>8.8999999999999996E-2</v>
      </c>
      <c r="U41" s="1">
        <v>0</v>
      </c>
      <c r="V41" s="1">
        <v>42.288726799999999</v>
      </c>
      <c r="W41" s="1">
        <v>2.4980609999999999</v>
      </c>
      <c r="X41" s="1">
        <v>0</v>
      </c>
      <c r="Y41" s="1">
        <v>0</v>
      </c>
      <c r="Z41" s="4">
        <f t="shared" si="0"/>
        <v>0.3737294761532447</v>
      </c>
    </row>
    <row r="42" spans="1:26" x14ac:dyDescent="0.2">
      <c r="A42" s="1" t="s">
        <v>68</v>
      </c>
      <c r="B42" s="1" t="s">
        <v>46</v>
      </c>
      <c r="C42" s="1" t="s">
        <v>94</v>
      </c>
      <c r="D42" s="1">
        <v>362.6213647605</v>
      </c>
      <c r="E42" s="5">
        <v>22.613</v>
      </c>
      <c r="F42" s="4">
        <v>636.69332441997699</v>
      </c>
      <c r="G42" s="4">
        <v>2540.7288090000002</v>
      </c>
      <c r="H42" s="1">
        <v>40</v>
      </c>
      <c r="J42" s="1">
        <v>-0.98589102175617804</v>
      </c>
      <c r="K42" s="1">
        <v>10</v>
      </c>
      <c r="L42">
        <v>9</v>
      </c>
      <c r="M42" s="1">
        <v>8</v>
      </c>
      <c r="N42" s="1">
        <v>5</v>
      </c>
      <c r="O42" s="4">
        <v>12.408410958904099</v>
      </c>
      <c r="P42" s="4">
        <v>0.596612779060816</v>
      </c>
      <c r="Q42" s="7">
        <v>95.42</v>
      </c>
      <c r="R42" s="7">
        <v>18.399999999999999</v>
      </c>
      <c r="S42" s="5">
        <v>0.97650000000000003</v>
      </c>
      <c r="T42" s="5">
        <v>0.10299999999999999</v>
      </c>
      <c r="U42" s="1">
        <v>0</v>
      </c>
      <c r="V42" s="1">
        <v>42.276232</v>
      </c>
      <c r="W42" s="1">
        <v>2.5099721000000002</v>
      </c>
      <c r="X42" s="1">
        <v>0</v>
      </c>
      <c r="Y42" s="1">
        <v>0</v>
      </c>
      <c r="Z42" s="4">
        <f t="shared" si="0"/>
        <v>0.403387220939184</v>
      </c>
    </row>
    <row r="43" spans="1:26" x14ac:dyDescent="0.2">
      <c r="A43" s="1" t="s">
        <v>69</v>
      </c>
      <c r="B43" s="1" t="s">
        <v>46</v>
      </c>
      <c r="C43" s="1" t="s">
        <v>94</v>
      </c>
      <c r="D43" s="1">
        <v>456.400102337833</v>
      </c>
      <c r="E43" s="5">
        <v>19.120999999999999</v>
      </c>
      <c r="F43" s="4">
        <v>509.794524888463</v>
      </c>
      <c r="G43" s="4">
        <v>19.011385000000001</v>
      </c>
      <c r="H43" s="1">
        <v>40</v>
      </c>
      <c r="I43" s="1">
        <v>0.98213333300000005</v>
      </c>
      <c r="J43" s="1">
        <v>-0.29615021171925199</v>
      </c>
      <c r="K43" s="1">
        <v>12</v>
      </c>
      <c r="L43">
        <v>14</v>
      </c>
      <c r="M43" s="1">
        <v>12</v>
      </c>
      <c r="N43" s="1">
        <v>5</v>
      </c>
      <c r="O43" s="4">
        <v>12.408410958904099</v>
      </c>
      <c r="P43" s="4">
        <v>0.57240333586050041</v>
      </c>
      <c r="Q43" s="7">
        <v>157.47999999999999</v>
      </c>
      <c r="R43" s="7">
        <v>19.2</v>
      </c>
      <c r="S43" s="5">
        <v>1.6719999999999999</v>
      </c>
      <c r="T43" s="5">
        <v>0.187</v>
      </c>
      <c r="U43" s="1">
        <v>0</v>
      </c>
      <c r="V43" s="1">
        <v>42.267927999999998</v>
      </c>
      <c r="W43" s="1">
        <v>2.5564293</v>
      </c>
      <c r="X43" s="1">
        <v>0</v>
      </c>
      <c r="Y43" s="1">
        <v>0</v>
      </c>
      <c r="Z43" s="4">
        <f t="shared" si="0"/>
        <v>0.42759666413949959</v>
      </c>
    </row>
    <row r="44" spans="1:26" x14ac:dyDescent="0.2">
      <c r="A44" s="1" t="s">
        <v>70</v>
      </c>
      <c r="B44" s="1" t="s">
        <v>46</v>
      </c>
      <c r="C44" s="1" t="s">
        <v>95</v>
      </c>
      <c r="D44" s="1">
        <v>107.102578545</v>
      </c>
      <c r="E44" s="5">
        <v>13.45</v>
      </c>
      <c r="F44" s="4">
        <v>1464.3666676596999</v>
      </c>
      <c r="G44" s="4">
        <v>170.165143</v>
      </c>
      <c r="H44" s="1">
        <v>80</v>
      </c>
      <c r="I44" s="1">
        <v>0.31945000000000001</v>
      </c>
      <c r="J44" s="1">
        <v>1.0384312393188799</v>
      </c>
      <c r="K44" s="1">
        <v>14</v>
      </c>
      <c r="L44">
        <v>16</v>
      </c>
      <c r="M44" s="1">
        <v>18</v>
      </c>
      <c r="N44" s="1">
        <v>6</v>
      </c>
      <c r="O44" s="4">
        <v>16.952616438356198</v>
      </c>
      <c r="P44" s="4">
        <v>0.52990797546012269</v>
      </c>
      <c r="Q44" s="7">
        <v>1205.68</v>
      </c>
      <c r="R44" s="7">
        <v>21.5</v>
      </c>
      <c r="S44" s="5">
        <v>1.0609999999999999</v>
      </c>
      <c r="T44" s="5">
        <v>3.1E-2</v>
      </c>
      <c r="U44" s="1">
        <v>100</v>
      </c>
      <c r="V44" s="1">
        <v>41.835895000000001</v>
      </c>
      <c r="W44" s="1">
        <v>2.9220700000000002</v>
      </c>
      <c r="X44" s="1">
        <v>1</v>
      </c>
      <c r="Y44" s="1">
        <v>0</v>
      </c>
      <c r="Z44" s="4">
        <f t="shared" si="0"/>
        <v>0.47009202453987731</v>
      </c>
    </row>
    <row r="45" spans="1:26" x14ac:dyDescent="0.2">
      <c r="A45" s="1" t="s">
        <v>71</v>
      </c>
      <c r="B45" s="1" t="s">
        <v>46</v>
      </c>
      <c r="C45" s="1" t="s">
        <v>95</v>
      </c>
      <c r="D45" s="1">
        <v>147.80721677612499</v>
      </c>
      <c r="E45" s="5">
        <v>117.636666666667</v>
      </c>
      <c r="F45" s="4">
        <v>858.51711857277701</v>
      </c>
      <c r="G45" s="4">
        <v>1061.3112550000001</v>
      </c>
      <c r="H45" s="1">
        <v>20</v>
      </c>
      <c r="I45" s="1">
        <v>1.838975</v>
      </c>
      <c r="J45" s="1">
        <v>-0.62373416664185899</v>
      </c>
      <c r="K45" s="1">
        <v>13</v>
      </c>
      <c r="L45">
        <v>12</v>
      </c>
      <c r="M45" s="1">
        <v>11</v>
      </c>
      <c r="N45" s="1">
        <v>5</v>
      </c>
      <c r="O45" s="4">
        <v>16.952616438356198</v>
      </c>
      <c r="P45" s="4">
        <v>0.53940321346595255</v>
      </c>
      <c r="Q45" s="7">
        <v>65.42</v>
      </c>
      <c r="R45" s="7">
        <v>76.599999999999994</v>
      </c>
      <c r="S45" s="5">
        <v>4.0709999999999997</v>
      </c>
      <c r="T45" s="5">
        <v>0.23833333333333301</v>
      </c>
      <c r="U45" s="1">
        <v>75</v>
      </c>
      <c r="V45" s="1">
        <v>41.842303999999999</v>
      </c>
      <c r="W45" s="1">
        <v>2.8775539999999999</v>
      </c>
      <c r="X45" s="1">
        <v>1</v>
      </c>
      <c r="Y45" s="1">
        <v>0</v>
      </c>
      <c r="Z45" s="4">
        <f t="shared" si="0"/>
        <v>0.46059678653404745</v>
      </c>
    </row>
    <row r="46" spans="1:26" x14ac:dyDescent="0.2">
      <c r="A46" s="1" t="s">
        <v>72</v>
      </c>
      <c r="B46" s="1" t="s">
        <v>46</v>
      </c>
      <c r="C46" s="1" t="s">
        <v>95</v>
      </c>
      <c r="D46" s="1">
        <v>136.099057235</v>
      </c>
      <c r="E46" s="5">
        <v>30.574999999999999</v>
      </c>
      <c r="F46" s="4">
        <v>630.37385409901799</v>
      </c>
      <c r="G46" s="4">
        <v>1112.657373</v>
      </c>
      <c r="H46" s="1">
        <v>80</v>
      </c>
      <c r="I46" s="1">
        <v>2.2366166664999998</v>
      </c>
      <c r="K46" s="1">
        <v>13</v>
      </c>
      <c r="L46">
        <v>16</v>
      </c>
      <c r="M46" s="1">
        <v>17</v>
      </c>
      <c r="N46" s="1">
        <v>6</v>
      </c>
      <c r="O46" s="4">
        <v>16.952616438356198</v>
      </c>
      <c r="P46" s="4">
        <v>0.54064417177914115</v>
      </c>
      <c r="Q46" s="7">
        <v>504.42</v>
      </c>
      <c r="R46" s="7">
        <v>19.7</v>
      </c>
      <c r="S46" s="5">
        <v>1.667</v>
      </c>
      <c r="T46" s="5">
        <v>6.5000000000000002E-2</v>
      </c>
      <c r="U46" s="1">
        <v>50</v>
      </c>
      <c r="V46" s="1">
        <v>41.869686999999999</v>
      </c>
      <c r="W46" s="1">
        <v>2.895044</v>
      </c>
      <c r="X46" s="1">
        <v>0</v>
      </c>
      <c r="Y46" s="1">
        <v>0</v>
      </c>
      <c r="Z46" s="4">
        <f t="shared" si="0"/>
        <v>0.45935582822085885</v>
      </c>
    </row>
    <row r="47" spans="1:26" x14ac:dyDescent="0.2">
      <c r="A47" s="1" t="s">
        <v>73</v>
      </c>
      <c r="B47" s="1" t="s">
        <v>46</v>
      </c>
      <c r="C47" s="1" t="s">
        <v>95</v>
      </c>
      <c r="D47" s="1">
        <v>147.07781109575001</v>
      </c>
      <c r="E47" s="5">
        <v>152.815666666667</v>
      </c>
      <c r="F47" s="4">
        <v>1401.6404344851401</v>
      </c>
      <c r="G47" s="4">
        <v>870.93860199999995</v>
      </c>
      <c r="H47" s="1">
        <v>20</v>
      </c>
      <c r="I47" s="1">
        <v>3.7637499999999999</v>
      </c>
      <c r="J47" s="1">
        <v>-1.0799834789600129</v>
      </c>
      <c r="K47" s="1">
        <v>17</v>
      </c>
      <c r="L47">
        <v>9</v>
      </c>
      <c r="M47" s="1">
        <v>18</v>
      </c>
      <c r="N47" s="1">
        <v>7</v>
      </c>
      <c r="O47" s="4">
        <v>16.952616438356198</v>
      </c>
      <c r="P47" s="4">
        <v>0.52788388082505733</v>
      </c>
      <c r="Q47" s="7">
        <v>551.9</v>
      </c>
      <c r="R47" s="7">
        <v>125.6</v>
      </c>
      <c r="S47" s="5">
        <v>1.58633333333333</v>
      </c>
      <c r="T47" s="5">
        <v>0.11600000000000001</v>
      </c>
      <c r="U47" s="1">
        <v>0</v>
      </c>
      <c r="V47" s="1">
        <v>41.866190000000003</v>
      </c>
      <c r="W47" s="1">
        <v>2.9172229999999999</v>
      </c>
      <c r="X47" s="1">
        <v>0</v>
      </c>
      <c r="Y47" s="1">
        <v>0</v>
      </c>
      <c r="Z47" s="4">
        <f t="shared" si="0"/>
        <v>0.47211611917494267</v>
      </c>
    </row>
    <row r="48" spans="1:26" x14ac:dyDescent="0.2">
      <c r="A48" s="1" t="s">
        <v>74</v>
      </c>
      <c r="B48" s="1" t="s">
        <v>46</v>
      </c>
      <c r="C48" s="1" t="s">
        <v>95</v>
      </c>
      <c r="D48" s="1">
        <v>283.78124299125</v>
      </c>
      <c r="E48" s="5">
        <v>34.912666666666702</v>
      </c>
      <c r="F48" s="4">
        <v>1827.3247975020799</v>
      </c>
      <c r="G48" s="4">
        <v>2381.2223359999998</v>
      </c>
      <c r="H48" s="1">
        <v>20</v>
      </c>
      <c r="I48" s="1">
        <v>4.2316416664999998</v>
      </c>
      <c r="J48" s="1">
        <v>-0.36777288413822851</v>
      </c>
      <c r="K48" s="1">
        <v>13</v>
      </c>
      <c r="L48">
        <v>17</v>
      </c>
      <c r="M48" s="1">
        <v>18</v>
      </c>
      <c r="N48" s="1">
        <v>4</v>
      </c>
      <c r="O48" s="4">
        <v>16.952616438356198</v>
      </c>
      <c r="P48" s="4">
        <v>0.5286916602907421</v>
      </c>
      <c r="Q48" s="7">
        <v>126.42</v>
      </c>
      <c r="R48" s="7">
        <v>147.5</v>
      </c>
      <c r="S48" s="5">
        <v>1.1846666666666701</v>
      </c>
      <c r="T48" s="5">
        <v>0.154</v>
      </c>
      <c r="U48" s="1">
        <v>60</v>
      </c>
      <c r="V48" s="1">
        <v>41.873516000000002</v>
      </c>
      <c r="W48" s="1">
        <v>2.9331830000000001</v>
      </c>
      <c r="X48" s="1">
        <v>0</v>
      </c>
      <c r="Y48" s="1">
        <v>0</v>
      </c>
      <c r="Z48" s="4">
        <f t="shared" si="0"/>
        <v>0.4713083397092579</v>
      </c>
    </row>
    <row r="49" spans="1:28" x14ac:dyDescent="0.2">
      <c r="A49" s="1" t="s">
        <v>75</v>
      </c>
      <c r="B49" s="1" t="s">
        <v>46</v>
      </c>
      <c r="C49" s="1" t="s">
        <v>95</v>
      </c>
      <c r="D49" s="1">
        <v>15.537105267333301</v>
      </c>
      <c r="E49" s="5">
        <v>14.48</v>
      </c>
      <c r="F49" s="4">
        <v>175.20618017359601</v>
      </c>
      <c r="G49" s="4">
        <v>683.90721499999995</v>
      </c>
      <c r="H49" s="1">
        <v>80</v>
      </c>
      <c r="K49" s="1">
        <v>15</v>
      </c>
      <c r="L49">
        <v>17</v>
      </c>
      <c r="M49" s="1">
        <v>14</v>
      </c>
      <c r="N49" s="1">
        <v>5</v>
      </c>
      <c r="O49" s="4">
        <v>16.952616438356198</v>
      </c>
      <c r="P49" s="4">
        <v>0.53940321346595255</v>
      </c>
      <c r="Q49" s="7">
        <v>99.4</v>
      </c>
      <c r="R49" s="7">
        <v>26</v>
      </c>
      <c r="S49" s="5">
        <v>1.5660000000000001</v>
      </c>
      <c r="T49" s="5">
        <v>4.2000000000000003E-2</v>
      </c>
      <c r="U49" s="1">
        <v>0</v>
      </c>
      <c r="V49" s="1">
        <v>41.865467000000002</v>
      </c>
      <c r="W49" s="1">
        <v>2.8946200000000002</v>
      </c>
      <c r="X49" s="1">
        <v>0</v>
      </c>
      <c r="Y49" s="1">
        <v>0</v>
      </c>
      <c r="Z49" s="4">
        <f t="shared" si="0"/>
        <v>0.46059678653404745</v>
      </c>
    </row>
    <row r="50" spans="1:28" x14ac:dyDescent="0.2">
      <c r="A50" s="1" t="s">
        <v>52</v>
      </c>
      <c r="B50" s="1" t="s">
        <v>46</v>
      </c>
      <c r="C50" s="1" t="s">
        <v>92</v>
      </c>
      <c r="D50" s="1">
        <v>98.4472917949048</v>
      </c>
      <c r="E50" s="5">
        <v>6.7649999999999997</v>
      </c>
      <c r="F50" s="4">
        <v>159.75177851239701</v>
      </c>
      <c r="G50" s="4">
        <v>194.53376499999999</v>
      </c>
      <c r="H50" s="1">
        <v>40</v>
      </c>
      <c r="I50" s="1">
        <v>3.46645</v>
      </c>
      <c r="J50" s="1">
        <v>-0.335539238585702</v>
      </c>
      <c r="K50" s="1">
        <v>15</v>
      </c>
      <c r="L50">
        <v>14</v>
      </c>
      <c r="M50" s="1">
        <v>17</v>
      </c>
      <c r="N50" s="1">
        <v>8</v>
      </c>
      <c r="O50" s="4">
        <v>13.0012191780822</v>
      </c>
      <c r="P50" s="4">
        <v>0.5509293680297398</v>
      </c>
      <c r="Q50" s="7">
        <v>176.62</v>
      </c>
      <c r="R50" s="7">
        <v>32.700000000000003</v>
      </c>
      <c r="S50" s="5">
        <v>0.79849999999999999</v>
      </c>
      <c r="T50" s="5">
        <v>4.1500000000000002E-2</v>
      </c>
      <c r="U50" s="1">
        <v>0</v>
      </c>
      <c r="V50" s="1">
        <v>41.961359000000002</v>
      </c>
      <c r="W50" s="1">
        <v>2.3520729999999999</v>
      </c>
      <c r="X50" s="1">
        <v>0</v>
      </c>
      <c r="Y50" s="1">
        <v>0</v>
      </c>
      <c r="Z50" s="4">
        <f t="shared" si="0"/>
        <v>0.4490706319702602</v>
      </c>
    </row>
    <row r="51" spans="1:28" x14ac:dyDescent="0.2">
      <c r="A51" s="1" t="s">
        <v>53</v>
      </c>
      <c r="B51" s="1" t="s">
        <v>46</v>
      </c>
      <c r="C51" s="1" t="s">
        <v>92</v>
      </c>
      <c r="D51" s="1">
        <v>1623.3508379504301</v>
      </c>
      <c r="E51" s="5">
        <v>82.087666666666706</v>
      </c>
      <c r="F51" s="4">
        <v>88.315768892003206</v>
      </c>
      <c r="G51" s="4">
        <v>2943.0061529999998</v>
      </c>
      <c r="H51" s="1">
        <v>40</v>
      </c>
      <c r="I51" s="1">
        <v>0.67569999999999997</v>
      </c>
      <c r="J51" s="1">
        <v>-1.9429955361278699</v>
      </c>
      <c r="K51" s="1">
        <v>7</v>
      </c>
      <c r="L51">
        <v>18</v>
      </c>
      <c r="M51" s="1">
        <v>22</v>
      </c>
      <c r="N51" s="1">
        <v>5</v>
      </c>
      <c r="O51" s="4">
        <v>13.0012191780822</v>
      </c>
      <c r="P51" s="4">
        <v>0.5575620767494357</v>
      </c>
      <c r="Q51" s="7">
        <v>366.92</v>
      </c>
      <c r="R51" s="7">
        <v>35.200000000000003</v>
      </c>
      <c r="S51" s="5">
        <v>1.6643333333333299</v>
      </c>
      <c r="T51" s="5">
        <v>0.13466666666666699</v>
      </c>
      <c r="U51" s="1">
        <v>85</v>
      </c>
      <c r="V51" s="1">
        <v>41.961379000000001</v>
      </c>
      <c r="W51" s="1">
        <v>2.3673799999999998</v>
      </c>
      <c r="X51" s="1">
        <v>0</v>
      </c>
      <c r="Y51" s="1">
        <v>0</v>
      </c>
      <c r="Z51" s="4">
        <f t="shared" si="0"/>
        <v>0.4424379232505643</v>
      </c>
    </row>
    <row r="52" spans="1:28" x14ac:dyDescent="0.2">
      <c r="A52" s="1" t="s">
        <v>54</v>
      </c>
      <c r="B52" s="1" t="s">
        <v>46</v>
      </c>
      <c r="C52" s="1" t="s">
        <v>92</v>
      </c>
      <c r="D52" s="1">
        <v>884.94319007624995</v>
      </c>
      <c r="E52" s="5">
        <v>65.101666666666702</v>
      </c>
      <c r="F52" s="4">
        <v>102.22783540054699</v>
      </c>
      <c r="G52" s="4">
        <v>930.49170300000003</v>
      </c>
      <c r="H52" s="1">
        <v>80</v>
      </c>
      <c r="I52" s="1">
        <v>3.0300666664999998</v>
      </c>
      <c r="J52" s="1">
        <v>-3.20006292733569</v>
      </c>
      <c r="K52" s="1">
        <v>12</v>
      </c>
      <c r="L52">
        <v>17</v>
      </c>
      <c r="M52" s="1">
        <v>21</v>
      </c>
      <c r="N52" s="1">
        <v>1</v>
      </c>
      <c r="O52" s="4">
        <v>13.0012191780822</v>
      </c>
      <c r="P52" s="4">
        <v>0.55381165919282516</v>
      </c>
      <c r="Q52" s="7">
        <v>324.83999999999997</v>
      </c>
      <c r="R52" s="7">
        <v>22.7</v>
      </c>
      <c r="S52" s="5">
        <v>2.6626666666666701</v>
      </c>
      <c r="T52" s="5">
        <v>0.17933333333333301</v>
      </c>
      <c r="U52" s="1">
        <v>50</v>
      </c>
      <c r="V52" s="1">
        <v>41.963700000000003</v>
      </c>
      <c r="W52" s="1">
        <v>2.3627500000000001</v>
      </c>
      <c r="X52" s="1">
        <v>1</v>
      </c>
      <c r="Y52" s="1">
        <v>0</v>
      </c>
      <c r="Z52" s="4">
        <f t="shared" si="0"/>
        <v>0.44618834080717484</v>
      </c>
    </row>
    <row r="53" spans="1:28" x14ac:dyDescent="0.2">
      <c r="A53" s="1" t="s">
        <v>55</v>
      </c>
      <c r="B53" s="1" t="s">
        <v>46</v>
      </c>
      <c r="C53" s="1" t="s">
        <v>92</v>
      </c>
      <c r="D53" s="1">
        <v>303.54101100525003</v>
      </c>
      <c r="E53" s="5">
        <v>14.742333333333301</v>
      </c>
      <c r="F53" s="4">
        <v>24.161262309462298</v>
      </c>
      <c r="G53" s="4">
        <v>2664.6171319999999</v>
      </c>
      <c r="H53" s="1">
        <v>20</v>
      </c>
      <c r="J53" s="1">
        <v>-1.2175114305242301</v>
      </c>
      <c r="K53" s="1">
        <v>11</v>
      </c>
      <c r="L53">
        <v>13</v>
      </c>
      <c r="M53" s="1">
        <v>17</v>
      </c>
      <c r="N53" s="1">
        <v>6</v>
      </c>
      <c r="O53" s="4">
        <v>13.0012191780822</v>
      </c>
      <c r="P53" s="4">
        <v>0.55011135857461024</v>
      </c>
      <c r="Q53" s="7">
        <v>128.52000000000001</v>
      </c>
      <c r="R53" s="7">
        <v>56.2</v>
      </c>
      <c r="S53" s="5">
        <v>0.97466666666666701</v>
      </c>
      <c r="T53" s="5">
        <v>4.6333333333333303E-2</v>
      </c>
      <c r="U53" s="1">
        <v>0</v>
      </c>
      <c r="V53" s="1">
        <v>41.968110000000003</v>
      </c>
      <c r="W53" s="1">
        <v>2.3743300000000001</v>
      </c>
      <c r="X53" s="1">
        <v>0</v>
      </c>
      <c r="Y53" s="1">
        <v>0</v>
      </c>
      <c r="Z53" s="4">
        <f t="shared" si="0"/>
        <v>0.44988864142538976</v>
      </c>
    </row>
    <row r="54" spans="1:28" x14ac:dyDescent="0.2">
      <c r="A54" s="1" t="s">
        <v>56</v>
      </c>
      <c r="B54" s="1" t="s">
        <v>46</v>
      </c>
      <c r="C54" s="1" t="s">
        <v>92</v>
      </c>
      <c r="D54" s="1">
        <v>1092.14171636336</v>
      </c>
      <c r="E54" s="5">
        <v>194.12</v>
      </c>
      <c r="F54" s="4">
        <v>162.05822272845299</v>
      </c>
      <c r="G54" s="4">
        <v>8033.0037700000003</v>
      </c>
      <c r="H54" s="1">
        <v>60</v>
      </c>
      <c r="I54" s="1">
        <v>0.27898333349999999</v>
      </c>
      <c r="K54" s="1">
        <v>13</v>
      </c>
      <c r="L54">
        <v>13</v>
      </c>
      <c r="M54" s="1">
        <v>20</v>
      </c>
      <c r="N54" s="1">
        <v>6</v>
      </c>
      <c r="O54" s="4">
        <v>13.3922739726027</v>
      </c>
      <c r="P54" s="4">
        <v>0.56981132075471697</v>
      </c>
      <c r="Q54" s="7">
        <v>248.35</v>
      </c>
      <c r="R54" s="7">
        <v>34.299999999999997</v>
      </c>
      <c r="S54" s="5">
        <v>4.9359999999999999</v>
      </c>
      <c r="T54" s="5">
        <v>0.30299999999999999</v>
      </c>
      <c r="U54" s="1">
        <v>40</v>
      </c>
      <c r="V54" s="1">
        <v>41.963472000000003</v>
      </c>
      <c r="W54" s="1">
        <v>2.375213</v>
      </c>
      <c r="X54" s="1">
        <v>0</v>
      </c>
      <c r="Y54" s="1">
        <v>0</v>
      </c>
      <c r="Z54" s="4">
        <f t="shared" si="0"/>
        <v>0.43018867924528303</v>
      </c>
    </row>
    <row r="55" spans="1:28" x14ac:dyDescent="0.2">
      <c r="A55" s="1" t="s">
        <v>57</v>
      </c>
      <c r="B55" s="1" t="s">
        <v>46</v>
      </c>
      <c r="C55" s="1" t="s">
        <v>92</v>
      </c>
      <c r="D55" s="1">
        <v>841.97538879224999</v>
      </c>
      <c r="E55" s="5">
        <v>66.349000000000004</v>
      </c>
      <c r="F55" s="4">
        <v>80.138493344670707</v>
      </c>
      <c r="G55" s="4">
        <v>2176.1743350000002</v>
      </c>
      <c r="H55" s="1">
        <v>20</v>
      </c>
      <c r="J55" s="1">
        <v>-1.0726566891571401</v>
      </c>
      <c r="K55" s="1">
        <v>10</v>
      </c>
      <c r="L55">
        <v>14</v>
      </c>
      <c r="M55" s="1">
        <v>15</v>
      </c>
      <c r="N55" s="1">
        <v>3</v>
      </c>
      <c r="O55" s="4">
        <v>13.0012191780822</v>
      </c>
      <c r="P55" s="4">
        <v>0.5575620767494357</v>
      </c>
      <c r="Q55" s="7">
        <v>55.04</v>
      </c>
      <c r="R55" s="7">
        <v>42.6</v>
      </c>
      <c r="S55" s="5">
        <v>2.8113333333333301</v>
      </c>
      <c r="T55" s="5">
        <v>0.109</v>
      </c>
      <c r="U55" s="1">
        <v>10</v>
      </c>
      <c r="V55" s="1">
        <v>41.958503999999998</v>
      </c>
      <c r="W55" s="1">
        <v>2.3689078000000001</v>
      </c>
      <c r="X55" s="1">
        <v>0</v>
      </c>
      <c r="Y55" s="1">
        <v>0</v>
      </c>
      <c r="Z55" s="4">
        <f t="shared" si="0"/>
        <v>0.4424379232505643</v>
      </c>
    </row>
    <row r="56" spans="1:28" x14ac:dyDescent="0.2">
      <c r="A56" s="1" t="s">
        <v>58</v>
      </c>
      <c r="B56" s="1" t="s">
        <v>46</v>
      </c>
      <c r="C56" s="1" t="s">
        <v>93</v>
      </c>
      <c r="D56" s="1">
        <v>5.4445933273750002</v>
      </c>
      <c r="E56" s="5">
        <v>8.5299999999999994</v>
      </c>
      <c r="F56" s="4">
        <v>81.704944243765397</v>
      </c>
      <c r="G56" s="4">
        <v>147.20296300000001</v>
      </c>
      <c r="H56" s="1">
        <v>20</v>
      </c>
      <c r="I56" s="1">
        <v>26.829499999999999</v>
      </c>
      <c r="J56" s="1">
        <v>-3.26608851414905E-2</v>
      </c>
      <c r="K56" s="1">
        <v>8</v>
      </c>
      <c r="L56">
        <v>14</v>
      </c>
      <c r="M56" s="1">
        <v>12</v>
      </c>
      <c r="N56" s="1">
        <v>7</v>
      </c>
      <c r="O56" s="4">
        <v>15.8970547945205</v>
      </c>
      <c r="P56" s="4">
        <v>0.57480916030534346</v>
      </c>
      <c r="Q56" s="7">
        <v>565.29</v>
      </c>
      <c r="R56" s="7">
        <v>76.400000000000006</v>
      </c>
      <c r="S56" s="5">
        <v>0.68899999999999995</v>
      </c>
      <c r="T56" s="5">
        <v>2.1999999999999999E-2</v>
      </c>
      <c r="U56" s="1">
        <v>0</v>
      </c>
      <c r="V56" s="1">
        <v>41.828848000000001</v>
      </c>
      <c r="W56" s="1">
        <v>2.718302</v>
      </c>
      <c r="X56" s="1">
        <v>1</v>
      </c>
      <c r="Y56" s="1">
        <v>0</v>
      </c>
      <c r="Z56" s="4">
        <f t="shared" si="0"/>
        <v>0.42519083969465654</v>
      </c>
    </row>
    <row r="57" spans="1:28" x14ac:dyDescent="0.2">
      <c r="A57" s="1" t="s">
        <v>59</v>
      </c>
      <c r="B57" s="1" t="s">
        <v>46</v>
      </c>
      <c r="C57" s="1" t="s">
        <v>93</v>
      </c>
      <c r="D57" s="1">
        <v>529.38183507983297</v>
      </c>
      <c r="E57" s="5">
        <v>19.279</v>
      </c>
      <c r="F57" s="4">
        <v>14.9847741635738</v>
      </c>
      <c r="G57" s="4">
        <v>36.441417999999999</v>
      </c>
      <c r="H57" s="1">
        <v>20</v>
      </c>
      <c r="I57" s="1">
        <v>2.1911499999999999</v>
      </c>
      <c r="K57" s="1">
        <v>8</v>
      </c>
      <c r="L57">
        <v>13</v>
      </c>
      <c r="M57" s="1">
        <v>14</v>
      </c>
      <c r="N57" s="1">
        <v>3</v>
      </c>
      <c r="O57" s="4">
        <v>15.8970547945205</v>
      </c>
      <c r="P57" s="4">
        <v>0.59219586840091809</v>
      </c>
      <c r="Q57" s="7">
        <v>56.16</v>
      </c>
      <c r="R57" s="7">
        <v>106.9</v>
      </c>
      <c r="S57" s="5">
        <v>1.3156666666666701</v>
      </c>
      <c r="T57" s="5">
        <v>0.109</v>
      </c>
      <c r="U57" s="1">
        <v>50</v>
      </c>
      <c r="V57" s="1">
        <v>41.812626999999999</v>
      </c>
      <c r="W57" s="1">
        <v>2.7008429999999999</v>
      </c>
      <c r="X57" s="1">
        <v>1</v>
      </c>
      <c r="Y57" s="1">
        <v>0</v>
      </c>
      <c r="Z57" s="4">
        <f t="shared" si="0"/>
        <v>0.40780413159908191</v>
      </c>
    </row>
    <row r="58" spans="1:28" x14ac:dyDescent="0.2">
      <c r="A58" s="1" t="s">
        <v>60</v>
      </c>
      <c r="B58" s="1" t="s">
        <v>46</v>
      </c>
      <c r="C58" s="1" t="s">
        <v>93</v>
      </c>
      <c r="D58" s="1">
        <v>171.52076219937501</v>
      </c>
      <c r="E58" s="5">
        <v>29.795000000000002</v>
      </c>
      <c r="F58" s="4">
        <v>103.70132895274099</v>
      </c>
      <c r="G58" s="4">
        <v>8.4228120000000004</v>
      </c>
      <c r="H58" s="1">
        <v>20</v>
      </c>
      <c r="I58" s="1">
        <v>0.77995000000000003</v>
      </c>
      <c r="J58" s="1">
        <v>-0.4570407660698475</v>
      </c>
      <c r="K58" s="1">
        <v>9</v>
      </c>
      <c r="L58">
        <v>12</v>
      </c>
      <c r="M58" s="1">
        <v>8</v>
      </c>
      <c r="N58" s="1">
        <v>1</v>
      </c>
      <c r="O58" s="4">
        <v>15.8970547945205</v>
      </c>
      <c r="P58" s="4">
        <v>0.60200153964588143</v>
      </c>
      <c r="Q58" s="7">
        <v>1402.71</v>
      </c>
      <c r="R58" s="7">
        <v>84.3</v>
      </c>
      <c r="S58" s="5">
        <v>0.77033333333333298</v>
      </c>
      <c r="T58" s="5">
        <v>4.3999999999999997E-2</v>
      </c>
      <c r="U58" s="1">
        <v>95</v>
      </c>
      <c r="V58" s="1">
        <v>41.835918999999997</v>
      </c>
      <c r="W58" s="1">
        <v>2.6991260000000001</v>
      </c>
      <c r="X58" s="1">
        <v>1</v>
      </c>
      <c r="Y58" s="1">
        <v>1</v>
      </c>
      <c r="Z58" s="4">
        <f t="shared" si="0"/>
        <v>0.39799846035411857</v>
      </c>
    </row>
    <row r="59" spans="1:28" x14ac:dyDescent="0.2">
      <c r="A59" s="1" t="s">
        <v>61</v>
      </c>
      <c r="B59" s="1" t="s">
        <v>46</v>
      </c>
      <c r="C59" s="1" t="s">
        <v>93</v>
      </c>
      <c r="D59" s="1">
        <v>169.56530149599999</v>
      </c>
      <c r="E59" s="5">
        <v>27.737666666666701</v>
      </c>
      <c r="F59" s="4">
        <v>61.146930308779702</v>
      </c>
      <c r="G59" s="4">
        <v>3.7320769999999999</v>
      </c>
      <c r="H59" s="1">
        <v>1</v>
      </c>
      <c r="I59" s="1">
        <v>1.7766999999999999</v>
      </c>
      <c r="J59" s="1">
        <v>0.203909523123603</v>
      </c>
      <c r="K59" s="1">
        <v>6</v>
      </c>
      <c r="L59">
        <v>15</v>
      </c>
      <c r="M59" s="1">
        <v>5</v>
      </c>
      <c r="N59" s="1">
        <v>1</v>
      </c>
      <c r="O59" s="4">
        <v>15.8970547945205</v>
      </c>
      <c r="P59" s="4">
        <v>0.57437070938215107</v>
      </c>
      <c r="Q59" s="7">
        <v>307.7</v>
      </c>
      <c r="R59" s="7">
        <v>80.400000000000006</v>
      </c>
      <c r="S59" s="5">
        <v>1.2606666666666699</v>
      </c>
      <c r="T59" s="5">
        <v>6.7333333333333301E-2</v>
      </c>
      <c r="U59" s="1">
        <v>0</v>
      </c>
      <c r="V59" s="1">
        <v>41.819409</v>
      </c>
      <c r="W59" s="1">
        <v>2.7249150000000002</v>
      </c>
      <c r="X59" s="1">
        <v>1</v>
      </c>
      <c r="Y59" s="1">
        <v>0</v>
      </c>
      <c r="Z59" s="4">
        <f t="shared" si="0"/>
        <v>0.42562929061784893</v>
      </c>
    </row>
    <row r="60" spans="1:28" x14ac:dyDescent="0.2">
      <c r="A60" s="1" t="s">
        <v>62</v>
      </c>
      <c r="B60" s="1" t="s">
        <v>46</v>
      </c>
      <c r="C60" s="1" t="s">
        <v>93</v>
      </c>
      <c r="D60" s="1">
        <v>2438.9258260042898</v>
      </c>
      <c r="E60" s="5">
        <v>36.773666666666699</v>
      </c>
      <c r="F60" s="4">
        <v>1642.81733958838</v>
      </c>
      <c r="G60" s="4">
        <v>146.72560200000001</v>
      </c>
      <c r="H60" s="1">
        <v>60</v>
      </c>
      <c r="I60" s="1">
        <v>2.2562666669999998</v>
      </c>
      <c r="K60" s="1">
        <v>10</v>
      </c>
      <c r="L60">
        <v>17</v>
      </c>
      <c r="M60" s="1">
        <v>14</v>
      </c>
      <c r="N60" s="1">
        <v>3</v>
      </c>
      <c r="O60" s="4">
        <v>15.8970547945205</v>
      </c>
      <c r="P60" s="4">
        <v>0.59083969465648856</v>
      </c>
      <c r="Q60" s="7">
        <v>101.3</v>
      </c>
      <c r="R60" s="7">
        <v>66.3</v>
      </c>
      <c r="S60" s="5">
        <v>2.8386666666666698</v>
      </c>
      <c r="T60" s="5">
        <v>0.53233333333333299</v>
      </c>
      <c r="U60" s="1">
        <v>20</v>
      </c>
      <c r="V60" s="1">
        <v>41.8184532</v>
      </c>
      <c r="W60" s="1">
        <v>2.7015890499999999</v>
      </c>
      <c r="X60" s="1">
        <v>1</v>
      </c>
      <c r="Y60" s="1">
        <v>1</v>
      </c>
      <c r="Z60" s="4">
        <f t="shared" si="0"/>
        <v>0.40916030534351144</v>
      </c>
    </row>
    <row r="61" spans="1:28" x14ac:dyDescent="0.2">
      <c r="A61" s="1" t="s">
        <v>63</v>
      </c>
      <c r="B61" s="1" t="s">
        <v>46</v>
      </c>
      <c r="C61" s="1" t="s">
        <v>93</v>
      </c>
      <c r="D61" s="1">
        <v>195.1729665204</v>
      </c>
      <c r="E61" s="5">
        <v>98.842333333333301</v>
      </c>
      <c r="F61" s="4">
        <v>579.08332422426099</v>
      </c>
      <c r="G61" s="4">
        <v>132.298112</v>
      </c>
      <c r="H61" s="1">
        <v>20</v>
      </c>
      <c r="J61" s="1">
        <v>0.27643768292608301</v>
      </c>
      <c r="K61" s="1">
        <v>13</v>
      </c>
      <c r="L61">
        <v>11</v>
      </c>
      <c r="M61" s="1">
        <v>9</v>
      </c>
      <c r="N61" s="1">
        <v>1</v>
      </c>
      <c r="O61" s="4">
        <v>15.8970547945205</v>
      </c>
      <c r="P61" s="4">
        <v>0.57701149425287357</v>
      </c>
      <c r="Q61" s="7">
        <v>215.3</v>
      </c>
      <c r="R61" s="7">
        <v>119.9</v>
      </c>
      <c r="S61" s="5">
        <v>0.93200000000000005</v>
      </c>
      <c r="T61" s="5">
        <v>7.3999999999999996E-2</v>
      </c>
      <c r="U61" s="1">
        <v>85</v>
      </c>
      <c r="V61" s="1">
        <v>41.810645999999998</v>
      </c>
      <c r="W61" s="1">
        <v>2.7088350000000001</v>
      </c>
      <c r="X61" s="1">
        <v>0</v>
      </c>
      <c r="Y61" s="1">
        <v>1</v>
      </c>
      <c r="Z61" s="4">
        <f t="shared" si="0"/>
        <v>0.42298850574712643</v>
      </c>
    </row>
    <row r="62" spans="1:28" x14ac:dyDescent="0.2">
      <c r="A62"/>
      <c r="B62"/>
      <c r="AA62" s="1"/>
      <c r="AB62" s="1"/>
    </row>
    <row r="63" spans="1:28" x14ac:dyDescent="0.2">
      <c r="A63"/>
      <c r="B63"/>
      <c r="AA63" s="1"/>
      <c r="AB63" s="1"/>
    </row>
    <row r="64" spans="1:28" x14ac:dyDescent="0.2">
      <c r="A64"/>
      <c r="B64"/>
      <c r="AA64" s="1"/>
      <c r="AB64" s="1"/>
    </row>
    <row r="65" spans="1:28" x14ac:dyDescent="0.2">
      <c r="A65"/>
      <c r="B65"/>
      <c r="AA65" s="1"/>
      <c r="AB65" s="1"/>
    </row>
    <row r="66" spans="1:28" x14ac:dyDescent="0.2">
      <c r="A66"/>
      <c r="B66"/>
      <c r="AA66" s="1"/>
      <c r="AB66" s="1"/>
    </row>
    <row r="67" spans="1:28" x14ac:dyDescent="0.2">
      <c r="A67"/>
      <c r="B67"/>
      <c r="AA67" s="1"/>
      <c r="AB67" s="1"/>
    </row>
    <row r="68" spans="1:28" x14ac:dyDescent="0.2">
      <c r="A68"/>
      <c r="B68"/>
      <c r="AA68" s="1"/>
      <c r="AB68" s="1"/>
    </row>
    <row r="69" spans="1:28" x14ac:dyDescent="0.2">
      <c r="A69"/>
      <c r="B69"/>
      <c r="AA69" s="1"/>
      <c r="AB69" s="1"/>
    </row>
    <row r="70" spans="1:28" x14ac:dyDescent="0.2">
      <c r="A70"/>
      <c r="B70"/>
      <c r="AA70" s="1"/>
      <c r="AB70" s="1"/>
    </row>
    <row r="71" spans="1:28" x14ac:dyDescent="0.2">
      <c r="A71"/>
      <c r="B71"/>
      <c r="AA71" s="1"/>
      <c r="AB71" s="1"/>
    </row>
    <row r="72" spans="1:28" x14ac:dyDescent="0.2">
      <c r="A72"/>
      <c r="B72"/>
      <c r="AA72" s="1"/>
      <c r="AB72" s="1"/>
    </row>
    <row r="73" spans="1:28" x14ac:dyDescent="0.2">
      <c r="A73"/>
      <c r="B73"/>
      <c r="AA73" s="1"/>
      <c r="AB73" s="1"/>
    </row>
    <row r="74" spans="1:28" x14ac:dyDescent="0.2">
      <c r="A74"/>
      <c r="B74"/>
      <c r="AA74" s="1"/>
      <c r="AB74" s="1"/>
    </row>
    <row r="75" spans="1:28" x14ac:dyDescent="0.2">
      <c r="A75"/>
      <c r="B75"/>
      <c r="AA75" s="1"/>
      <c r="AB75" s="1"/>
    </row>
    <row r="76" spans="1:28" x14ac:dyDescent="0.2">
      <c r="A76"/>
      <c r="B76"/>
      <c r="AA76" s="1"/>
      <c r="AB76" s="1"/>
    </row>
    <row r="77" spans="1:28" x14ac:dyDescent="0.2">
      <c r="A77"/>
      <c r="B77"/>
      <c r="AA77" s="1"/>
      <c r="AB77" s="1"/>
    </row>
    <row r="78" spans="1:28" x14ac:dyDescent="0.2">
      <c r="A78"/>
      <c r="B78"/>
      <c r="AA78" s="1"/>
      <c r="AB78" s="1"/>
    </row>
    <row r="79" spans="1:28" x14ac:dyDescent="0.2">
      <c r="A79"/>
      <c r="B79"/>
      <c r="AA79" s="1"/>
      <c r="AB79" s="1"/>
    </row>
    <row r="80" spans="1:28" x14ac:dyDescent="0.2">
      <c r="A80"/>
      <c r="B80"/>
      <c r="AA80" s="1"/>
      <c r="AB80" s="1"/>
    </row>
    <row r="81" spans="1:28" x14ac:dyDescent="0.2">
      <c r="A81"/>
      <c r="B81"/>
      <c r="AA81" s="1"/>
      <c r="AB81" s="1"/>
    </row>
    <row r="82" spans="1:28" x14ac:dyDescent="0.2">
      <c r="A82"/>
      <c r="B82"/>
      <c r="AA82" s="1"/>
      <c r="AB82" s="1"/>
    </row>
    <row r="83" spans="1:28" x14ac:dyDescent="0.2">
      <c r="A83"/>
      <c r="B83"/>
      <c r="AA83" s="1"/>
      <c r="AB83" s="1"/>
    </row>
    <row r="84" spans="1:28" x14ac:dyDescent="0.2">
      <c r="A84"/>
      <c r="B84"/>
      <c r="AA84" s="1"/>
      <c r="AB84" s="1"/>
    </row>
    <row r="85" spans="1:28" x14ac:dyDescent="0.2">
      <c r="A85"/>
      <c r="B85"/>
      <c r="AA85" s="1"/>
      <c r="AB85" s="1"/>
    </row>
    <row r="86" spans="1:28" x14ac:dyDescent="0.2">
      <c r="A86"/>
      <c r="B86"/>
      <c r="AA86" s="1"/>
      <c r="AB86" s="1"/>
    </row>
    <row r="87" spans="1:28" x14ac:dyDescent="0.2">
      <c r="A87"/>
      <c r="B87"/>
      <c r="AA87" s="1"/>
      <c r="AB87" s="1"/>
    </row>
    <row r="88" spans="1:28" x14ac:dyDescent="0.2">
      <c r="A88"/>
      <c r="B88"/>
      <c r="AA88" s="1"/>
      <c r="AB88" s="1"/>
    </row>
    <row r="89" spans="1:28" x14ac:dyDescent="0.2">
      <c r="A89"/>
      <c r="B89"/>
      <c r="AA89" s="1"/>
      <c r="AB89" s="1"/>
    </row>
    <row r="90" spans="1:28" x14ac:dyDescent="0.2">
      <c r="A90"/>
      <c r="B90"/>
      <c r="AA90" s="1"/>
      <c r="AB90" s="1"/>
    </row>
    <row r="91" spans="1:28" x14ac:dyDescent="0.2">
      <c r="A91"/>
      <c r="B91"/>
      <c r="AA91" s="1"/>
      <c r="AB91" s="1"/>
    </row>
    <row r="92" spans="1:28" x14ac:dyDescent="0.2">
      <c r="A92"/>
      <c r="B92"/>
      <c r="AA92" s="1"/>
      <c r="AB92" s="1"/>
    </row>
    <row r="93" spans="1:28" x14ac:dyDescent="0.2">
      <c r="A93"/>
      <c r="B93"/>
      <c r="AA93" s="1"/>
      <c r="AB93" s="1"/>
    </row>
    <row r="94" spans="1:28" x14ac:dyDescent="0.2">
      <c r="A94"/>
      <c r="B94"/>
      <c r="AA94" s="1"/>
      <c r="AB94" s="1"/>
    </row>
    <row r="95" spans="1:28" x14ac:dyDescent="0.2">
      <c r="A95"/>
      <c r="B95"/>
      <c r="AA95" s="1"/>
      <c r="AB95" s="1"/>
    </row>
    <row r="96" spans="1:28" x14ac:dyDescent="0.2">
      <c r="A96"/>
      <c r="B96"/>
      <c r="AA96" s="1"/>
      <c r="AB96" s="1"/>
    </row>
    <row r="97" spans="1:28" x14ac:dyDescent="0.2">
      <c r="A97"/>
      <c r="B97"/>
      <c r="AA97" s="1"/>
      <c r="AB97" s="1"/>
    </row>
    <row r="98" spans="1:28" x14ac:dyDescent="0.2">
      <c r="A98"/>
      <c r="B98"/>
      <c r="AA98" s="1"/>
      <c r="AB98" s="1"/>
    </row>
    <row r="99" spans="1:28" x14ac:dyDescent="0.2">
      <c r="A99"/>
      <c r="B99"/>
      <c r="AA99" s="1"/>
      <c r="AB99" s="1"/>
    </row>
    <row r="100" spans="1:28" x14ac:dyDescent="0.2">
      <c r="A100"/>
      <c r="B100"/>
      <c r="AA100" s="1"/>
      <c r="AB100" s="1"/>
    </row>
    <row r="101" spans="1:28" x14ac:dyDescent="0.2">
      <c r="A101"/>
      <c r="B101"/>
      <c r="AA101" s="1"/>
      <c r="AB101" s="1"/>
    </row>
    <row r="102" spans="1:28" x14ac:dyDescent="0.2">
      <c r="A102"/>
      <c r="B102"/>
      <c r="AA102" s="1"/>
      <c r="AB102" s="1"/>
    </row>
    <row r="103" spans="1:28" x14ac:dyDescent="0.2">
      <c r="A103"/>
      <c r="B103"/>
      <c r="AA103" s="1"/>
      <c r="AB103" s="1"/>
    </row>
    <row r="104" spans="1:28" x14ac:dyDescent="0.2">
      <c r="A104"/>
      <c r="B104"/>
      <c r="AA104" s="1"/>
      <c r="AB104" s="1"/>
    </row>
    <row r="105" spans="1:28" x14ac:dyDescent="0.2">
      <c r="A105"/>
      <c r="B105"/>
      <c r="AA105" s="1"/>
      <c r="AB105" s="1"/>
    </row>
    <row r="106" spans="1:28" x14ac:dyDescent="0.2">
      <c r="A106"/>
      <c r="B106"/>
      <c r="AA106" s="1"/>
      <c r="AB106" s="1"/>
    </row>
    <row r="107" spans="1:28" x14ac:dyDescent="0.2">
      <c r="A107"/>
      <c r="B107"/>
      <c r="AA107" s="1"/>
      <c r="AB107" s="1"/>
    </row>
    <row r="108" spans="1:28" x14ac:dyDescent="0.2">
      <c r="A108"/>
      <c r="B108"/>
      <c r="AA108" s="1"/>
      <c r="AB108" s="1"/>
    </row>
    <row r="109" spans="1:28" x14ac:dyDescent="0.2">
      <c r="A109"/>
      <c r="B109"/>
      <c r="AA109" s="1"/>
      <c r="AB109" s="1"/>
    </row>
    <row r="110" spans="1:28" x14ac:dyDescent="0.2">
      <c r="A110"/>
      <c r="B110"/>
      <c r="AA110" s="1"/>
      <c r="AB110" s="1"/>
    </row>
    <row r="111" spans="1:28" x14ac:dyDescent="0.2">
      <c r="A111"/>
      <c r="B111"/>
      <c r="AA111" s="1"/>
      <c r="AB111" s="1"/>
    </row>
    <row r="112" spans="1:28" x14ac:dyDescent="0.2">
      <c r="A112"/>
      <c r="B112"/>
      <c r="AA112" s="1"/>
      <c r="AB112" s="1"/>
    </row>
    <row r="113" spans="1:28" x14ac:dyDescent="0.2">
      <c r="A113"/>
      <c r="B113"/>
      <c r="AA113" s="1"/>
      <c r="AB113" s="1"/>
    </row>
    <row r="114" spans="1:28" x14ac:dyDescent="0.2">
      <c r="A114"/>
      <c r="B114"/>
      <c r="AA114" s="1"/>
      <c r="AB114" s="1"/>
    </row>
    <row r="115" spans="1:28" x14ac:dyDescent="0.2">
      <c r="A115"/>
      <c r="B115"/>
      <c r="AA115" s="1"/>
      <c r="AB115" s="1"/>
    </row>
    <row r="116" spans="1:28" x14ac:dyDescent="0.2">
      <c r="A116"/>
      <c r="B116"/>
      <c r="AA116" s="1"/>
      <c r="AB116" s="1"/>
    </row>
    <row r="117" spans="1:28" x14ac:dyDescent="0.2">
      <c r="A117"/>
      <c r="B117"/>
      <c r="AA117" s="1"/>
      <c r="AB117" s="1"/>
    </row>
    <row r="118" spans="1:28" x14ac:dyDescent="0.2">
      <c r="A118"/>
      <c r="B118"/>
      <c r="AA118" s="1"/>
      <c r="AB118" s="1"/>
    </row>
    <row r="119" spans="1:28" x14ac:dyDescent="0.2">
      <c r="A119"/>
      <c r="B119"/>
      <c r="AA119" s="1"/>
      <c r="AB119" s="1"/>
    </row>
    <row r="120" spans="1:28" x14ac:dyDescent="0.2">
      <c r="A120"/>
      <c r="B120"/>
      <c r="AA120" s="1"/>
      <c r="AB120" s="1"/>
    </row>
    <row r="121" spans="1:28" x14ac:dyDescent="0.2">
      <c r="A121"/>
      <c r="B121"/>
      <c r="AA121" s="1"/>
      <c r="AB121" s="1"/>
    </row>
    <row r="122" spans="1:28" x14ac:dyDescent="0.2">
      <c r="A122"/>
      <c r="B122"/>
      <c r="AA122" s="1"/>
      <c r="AB122" s="1"/>
    </row>
    <row r="123" spans="1:28" x14ac:dyDescent="0.2">
      <c r="A123"/>
      <c r="B123"/>
      <c r="AA123" s="1"/>
      <c r="AB123" s="1"/>
    </row>
    <row r="124" spans="1:28" x14ac:dyDescent="0.2">
      <c r="A124"/>
      <c r="B124"/>
      <c r="AA124" s="1"/>
      <c r="AB124" s="1"/>
    </row>
    <row r="125" spans="1:28" x14ac:dyDescent="0.2">
      <c r="A125"/>
      <c r="B125"/>
      <c r="AA125" s="1"/>
      <c r="AB125" s="1"/>
    </row>
    <row r="126" spans="1:28" x14ac:dyDescent="0.2">
      <c r="A126"/>
      <c r="B126"/>
      <c r="AA126" s="1"/>
      <c r="AB126" s="1"/>
    </row>
    <row r="127" spans="1:28" x14ac:dyDescent="0.2">
      <c r="A127"/>
      <c r="B127"/>
      <c r="AA127" s="1"/>
      <c r="AB127" s="1"/>
    </row>
    <row r="128" spans="1:28" x14ac:dyDescent="0.2">
      <c r="A128"/>
      <c r="B128"/>
      <c r="AA128" s="1"/>
      <c r="AB128" s="1"/>
    </row>
    <row r="129" spans="1:28" x14ac:dyDescent="0.2">
      <c r="A129"/>
      <c r="B129"/>
      <c r="AA129" s="1"/>
      <c r="AB129" s="1"/>
    </row>
    <row r="130" spans="1:28" x14ac:dyDescent="0.2">
      <c r="A130"/>
      <c r="B130"/>
      <c r="AA130" s="1"/>
      <c r="AB130" s="1"/>
    </row>
    <row r="131" spans="1:28" x14ac:dyDescent="0.2">
      <c r="A131"/>
      <c r="B131"/>
      <c r="AA131" s="1"/>
      <c r="AB131" s="1"/>
    </row>
    <row r="132" spans="1:28" x14ac:dyDescent="0.2">
      <c r="A132"/>
      <c r="B132"/>
      <c r="AA132" s="1"/>
      <c r="AB132" s="1"/>
    </row>
    <row r="133" spans="1:28" x14ac:dyDescent="0.2">
      <c r="A133"/>
      <c r="B133"/>
      <c r="AA133" s="1"/>
      <c r="AB133" s="1"/>
    </row>
    <row r="134" spans="1:28" x14ac:dyDescent="0.2">
      <c r="A134"/>
      <c r="B134"/>
      <c r="AA134" s="1"/>
      <c r="AB134" s="1"/>
    </row>
    <row r="135" spans="1:28" x14ac:dyDescent="0.2">
      <c r="A135"/>
      <c r="B135"/>
      <c r="AA135" s="1"/>
      <c r="AB135" s="1"/>
    </row>
    <row r="136" spans="1:28" x14ac:dyDescent="0.2">
      <c r="A136"/>
      <c r="B136"/>
      <c r="AA136" s="1"/>
      <c r="AB136" s="1"/>
    </row>
    <row r="137" spans="1:28" x14ac:dyDescent="0.2">
      <c r="A137"/>
      <c r="B137"/>
      <c r="AA137" s="1"/>
      <c r="AB137" s="1"/>
    </row>
    <row r="138" spans="1:28" x14ac:dyDescent="0.2">
      <c r="A138"/>
      <c r="B138"/>
      <c r="AA138" s="1"/>
      <c r="AB138" s="1"/>
    </row>
    <row r="139" spans="1:28" x14ac:dyDescent="0.2">
      <c r="A139"/>
      <c r="B139"/>
      <c r="AA139" s="1"/>
      <c r="AB139" s="1"/>
    </row>
    <row r="140" spans="1:28" x14ac:dyDescent="0.2">
      <c r="A140"/>
      <c r="B140"/>
      <c r="AA140" s="1"/>
      <c r="AB140" s="1"/>
    </row>
    <row r="141" spans="1:28" x14ac:dyDescent="0.2">
      <c r="A141"/>
      <c r="B141"/>
      <c r="AA141" s="1"/>
      <c r="AB141" s="1"/>
    </row>
    <row r="142" spans="1:28" x14ac:dyDescent="0.2">
      <c r="A142"/>
      <c r="B142"/>
      <c r="AA142" s="1"/>
      <c r="AB142" s="1"/>
    </row>
    <row r="143" spans="1:28" x14ac:dyDescent="0.2">
      <c r="A143"/>
      <c r="B143"/>
      <c r="AA143" s="1"/>
      <c r="AB143" s="1"/>
    </row>
    <row r="144" spans="1:28" x14ac:dyDescent="0.2">
      <c r="A144"/>
      <c r="B144"/>
      <c r="AA144" s="1"/>
      <c r="AB144" s="1"/>
    </row>
    <row r="145" spans="1:28" x14ac:dyDescent="0.2">
      <c r="A145"/>
      <c r="B145"/>
      <c r="AA145" s="1"/>
      <c r="AB145" s="1"/>
    </row>
    <row r="146" spans="1:28" x14ac:dyDescent="0.2">
      <c r="A146"/>
      <c r="B146"/>
      <c r="AA146" s="1"/>
      <c r="AB146" s="1"/>
    </row>
    <row r="147" spans="1:28" x14ac:dyDescent="0.2">
      <c r="A147"/>
      <c r="B147"/>
      <c r="AA147" s="1"/>
      <c r="AB147" s="1"/>
    </row>
    <row r="148" spans="1:28" x14ac:dyDescent="0.2">
      <c r="A148"/>
      <c r="B148"/>
      <c r="AA148" s="1"/>
      <c r="AB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</vt:lpstr>
      <vt:lpstr>FullDB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Cuenca</dc:creator>
  <cp:lastModifiedBy>María Cuenca</cp:lastModifiedBy>
  <dcterms:created xsi:type="dcterms:W3CDTF">2024-12-11T09:07:16Z</dcterms:created>
  <dcterms:modified xsi:type="dcterms:W3CDTF">2026-02-27T11:15:42Z</dcterms:modified>
</cp:coreProperties>
</file>